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icaoehvall/Documents/Coursera course/Excel/"/>
    </mc:Choice>
  </mc:AlternateContent>
  <xr:revisionPtr revIDLastSave="0" documentId="13_ncr:1_{CB94D292-D2B7-ED41-AC32-60156982BD0D}" xr6:coauthVersionLast="47" xr6:coauthVersionMax="47" xr10:uidLastSave="{00000000-0000-0000-0000-000000000000}"/>
  <bookViews>
    <workbookView xWindow="17420" yWindow="2260" windowWidth="25640" windowHeight="18920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Car_sales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9" i="4" l="1"/>
  <c r="K156" i="4" l="1" a="1"/>
  <c r="K156" i="4" s="1"/>
  <c r="G156" i="4"/>
  <c r="H156" i="4" s="1"/>
  <c r="K155" i="4" a="1"/>
  <c r="K155" i="4" s="1"/>
  <c r="G155" i="4"/>
  <c r="H155" i="4" s="1"/>
  <c r="K154" i="4" a="1"/>
  <c r="K154" i="4" s="1"/>
  <c r="G154" i="4"/>
  <c r="H154" i="4" s="1"/>
  <c r="K153" i="4" a="1"/>
  <c r="K153" i="4" s="1"/>
  <c r="G153" i="4"/>
  <c r="H153" i="4" s="1"/>
  <c r="K152" i="4" a="1"/>
  <c r="K152" i="4" s="1"/>
  <c r="G152" i="4"/>
  <c r="H152" i="4" s="1"/>
  <c r="K151" i="4" a="1"/>
  <c r="K151" i="4" s="1"/>
  <c r="G151" i="4"/>
  <c r="H151" i="4" s="1"/>
  <c r="K150" i="4" a="1"/>
  <c r="K150" i="4" s="1"/>
  <c r="G150" i="4"/>
  <c r="H150" i="4" s="1"/>
  <c r="K149" i="4" a="1"/>
  <c r="K149" i="4" s="1"/>
  <c r="G149" i="4"/>
  <c r="H149" i="4" s="1"/>
  <c r="K148" i="4" a="1"/>
  <c r="K148" i="4" s="1"/>
  <c r="G148" i="4"/>
  <c r="H148" i="4" s="1"/>
  <c r="K147" i="4" a="1"/>
  <c r="K147" i="4" s="1"/>
  <c r="G147" i="4"/>
  <c r="H147" i="4" s="1"/>
  <c r="K146" i="4" a="1"/>
  <c r="K146" i="4" s="1"/>
  <c r="G146" i="4"/>
  <c r="H146" i="4" s="1"/>
  <c r="K145" i="4" a="1"/>
  <c r="K145" i="4" s="1"/>
  <c r="G145" i="4"/>
  <c r="H145" i="4" s="1"/>
  <c r="K144" i="4" a="1"/>
  <c r="K144" i="4" s="1"/>
  <c r="G144" i="4"/>
  <c r="H144" i="4" s="1"/>
  <c r="K143" i="4" a="1"/>
  <c r="K143" i="4" s="1"/>
  <c r="G143" i="4"/>
  <c r="H143" i="4" s="1"/>
  <c r="K142" i="4" a="1"/>
  <c r="K142" i="4" s="1"/>
  <c r="G142" i="4"/>
  <c r="H142" i="4" s="1"/>
  <c r="K141" i="4" a="1"/>
  <c r="K141" i="4" s="1"/>
  <c r="G141" i="4"/>
  <c r="H141" i="4" s="1"/>
  <c r="K140" i="4" a="1"/>
  <c r="K140" i="4" s="1"/>
  <c r="G140" i="4"/>
  <c r="H140" i="4" s="1"/>
  <c r="K139" i="4" a="1"/>
  <c r="K139" i="4" s="1"/>
  <c r="H139" i="4"/>
  <c r="K138" i="4" a="1"/>
  <c r="K138" i="4" s="1"/>
  <c r="G138" i="4"/>
  <c r="H138" i="4" s="1"/>
  <c r="K137" i="4" a="1"/>
  <c r="K137" i="4" s="1"/>
  <c r="G137" i="4"/>
  <c r="H137" i="4" s="1"/>
  <c r="K136" i="4" a="1"/>
  <c r="K136" i="4" s="1"/>
  <c r="G136" i="4"/>
  <c r="H136" i="4" s="1"/>
  <c r="K135" i="4" a="1"/>
  <c r="K135" i="4" s="1"/>
  <c r="G135" i="4"/>
  <c r="H135" i="4" s="1"/>
  <c r="K134" i="4" a="1"/>
  <c r="K134" i="4" s="1"/>
  <c r="G134" i="4"/>
  <c r="H134" i="4" s="1"/>
  <c r="K133" i="4" a="1"/>
  <c r="K133" i="4" s="1"/>
  <c r="G133" i="4"/>
  <c r="H133" i="4" s="1"/>
  <c r="K132" i="4" a="1"/>
  <c r="K132" i="4" s="1"/>
  <c r="G132" i="4"/>
  <c r="H132" i="4" s="1"/>
  <c r="K131" i="4" a="1"/>
  <c r="K131" i="4" s="1"/>
  <c r="G131" i="4"/>
  <c r="H131" i="4" s="1"/>
  <c r="K130" i="4" a="1"/>
  <c r="K130" i="4" s="1"/>
  <c r="G130" i="4"/>
  <c r="H130" i="4" s="1"/>
  <c r="K129" i="4" a="1"/>
  <c r="K129" i="4" s="1"/>
  <c r="G129" i="4"/>
  <c r="H129" i="4" s="1"/>
  <c r="K128" i="4" a="1"/>
  <c r="K128" i="4" s="1"/>
  <c r="G128" i="4"/>
  <c r="H128" i="4" s="1"/>
  <c r="K127" i="4" a="1"/>
  <c r="K127" i="4" s="1"/>
  <c r="G127" i="4"/>
  <c r="H127" i="4" s="1"/>
  <c r="K126" i="4" a="1"/>
  <c r="K126" i="4" s="1"/>
  <c r="G126" i="4"/>
  <c r="H126" i="4" s="1"/>
  <c r="K125" i="4" a="1"/>
  <c r="K125" i="4" s="1"/>
  <c r="G125" i="4"/>
  <c r="H125" i="4" s="1"/>
  <c r="K124" i="4" a="1"/>
  <c r="K124" i="4" s="1"/>
  <c r="G124" i="4"/>
  <c r="H124" i="4" s="1"/>
  <c r="K123" i="4" a="1"/>
  <c r="K123" i="4" s="1"/>
  <c r="G123" i="4"/>
  <c r="H123" i="4" s="1"/>
  <c r="K122" i="4" a="1"/>
  <c r="K122" i="4" s="1"/>
  <c r="G122" i="4"/>
  <c r="H122" i="4" s="1"/>
  <c r="K121" i="4" a="1"/>
  <c r="K121" i="4" s="1"/>
  <c r="G121" i="4"/>
  <c r="H121" i="4" s="1"/>
  <c r="K120" i="4" a="1"/>
  <c r="K120" i="4" s="1"/>
  <c r="G120" i="4"/>
  <c r="H120" i="4" s="1"/>
  <c r="K119" i="4" a="1"/>
  <c r="K119" i="4" s="1"/>
  <c r="G119" i="4"/>
  <c r="H119" i="4" s="1"/>
  <c r="K118" i="4" a="1"/>
  <c r="K118" i="4" s="1"/>
  <c r="G118" i="4"/>
  <c r="H118" i="4" s="1"/>
  <c r="K117" i="4" a="1"/>
  <c r="K117" i="4" s="1"/>
  <c r="G117" i="4"/>
  <c r="H117" i="4" s="1"/>
  <c r="K116" i="4" a="1"/>
  <c r="K116" i="4" s="1"/>
  <c r="G116" i="4"/>
  <c r="H116" i="4" s="1"/>
  <c r="K115" i="4" a="1"/>
  <c r="K115" i="4" s="1"/>
  <c r="G115" i="4"/>
  <c r="H115" i="4" s="1"/>
  <c r="K114" i="4" a="1"/>
  <c r="K114" i="4" s="1"/>
  <c r="G114" i="4"/>
  <c r="H114" i="4" s="1"/>
  <c r="K113" i="4" a="1"/>
  <c r="K113" i="4" s="1"/>
  <c r="G113" i="4"/>
  <c r="H113" i="4" s="1"/>
  <c r="K112" i="4" a="1"/>
  <c r="K112" i="4" s="1"/>
  <c r="G112" i="4"/>
  <c r="H112" i="4" s="1"/>
  <c r="K111" i="4" a="1"/>
  <c r="K111" i="4" s="1"/>
  <c r="G111" i="4"/>
  <c r="H111" i="4" s="1"/>
  <c r="K110" i="4" a="1"/>
  <c r="K110" i="4" s="1"/>
  <c r="G110" i="4"/>
  <c r="H110" i="4" s="1"/>
  <c r="K109" i="4" a="1"/>
  <c r="K109" i="4" s="1"/>
  <c r="G109" i="4"/>
  <c r="H109" i="4" s="1"/>
  <c r="K108" i="4" a="1"/>
  <c r="K108" i="4" s="1"/>
  <c r="G108" i="4"/>
  <c r="H108" i="4" s="1"/>
  <c r="K107" i="4" a="1"/>
  <c r="K107" i="4" s="1"/>
  <c r="G107" i="4"/>
  <c r="H107" i="4" s="1"/>
  <c r="K106" i="4" a="1"/>
  <c r="K106" i="4" s="1"/>
  <c r="G106" i="4"/>
  <c r="H106" i="4" s="1"/>
  <c r="K105" i="4" a="1"/>
  <c r="K105" i="4" s="1"/>
  <c r="G105" i="4"/>
  <c r="H105" i="4" s="1"/>
  <c r="K104" i="4" a="1"/>
  <c r="K104" i="4" s="1"/>
  <c r="G104" i="4"/>
  <c r="H104" i="4" s="1"/>
  <c r="K103" i="4" a="1"/>
  <c r="K103" i="4" s="1"/>
  <c r="G103" i="4"/>
  <c r="H103" i="4" s="1"/>
  <c r="K102" i="4" a="1"/>
  <c r="K102" i="4" s="1"/>
  <c r="G102" i="4"/>
  <c r="H102" i="4" s="1"/>
  <c r="K101" i="4" a="1"/>
  <c r="K101" i="4" s="1"/>
  <c r="G101" i="4"/>
  <c r="H101" i="4" s="1"/>
  <c r="K100" i="4" a="1"/>
  <c r="K100" i="4" s="1"/>
  <c r="G100" i="4"/>
  <c r="H100" i="4" s="1"/>
  <c r="K99" i="4" a="1"/>
  <c r="K99" i="4" s="1"/>
  <c r="G99" i="4"/>
  <c r="H99" i="4" s="1"/>
  <c r="K98" i="4" a="1"/>
  <c r="K98" i="4" s="1"/>
  <c r="G98" i="4"/>
  <c r="H98" i="4" s="1"/>
  <c r="K97" i="4" a="1"/>
  <c r="K97" i="4" s="1"/>
  <c r="G97" i="4"/>
  <c r="H97" i="4" s="1"/>
  <c r="K96" i="4" a="1"/>
  <c r="K96" i="4" s="1"/>
  <c r="G96" i="4"/>
  <c r="H96" i="4" s="1"/>
  <c r="K95" i="4" a="1"/>
  <c r="K95" i="4" s="1"/>
  <c r="G95" i="4"/>
  <c r="H95" i="4" s="1"/>
  <c r="K94" i="4" a="1"/>
  <c r="K94" i="4" s="1"/>
  <c r="G94" i="4"/>
  <c r="H94" i="4" s="1"/>
  <c r="K93" i="4" a="1"/>
  <c r="K93" i="4" s="1"/>
  <c r="G93" i="4"/>
  <c r="H93" i="4" s="1"/>
  <c r="K92" i="4" a="1"/>
  <c r="K92" i="4" s="1"/>
  <c r="G92" i="4"/>
  <c r="H92" i="4" s="1"/>
  <c r="K91" i="4" a="1"/>
  <c r="K91" i="4" s="1"/>
  <c r="G91" i="4"/>
  <c r="H91" i="4" s="1"/>
  <c r="K90" i="4" a="1"/>
  <c r="K90" i="4" s="1"/>
  <c r="G90" i="4"/>
  <c r="H90" i="4" s="1"/>
  <c r="K89" i="4" a="1"/>
  <c r="K89" i="4" s="1"/>
  <c r="G89" i="4"/>
  <c r="H89" i="4" s="1"/>
  <c r="K88" i="4" a="1"/>
  <c r="K88" i="4" s="1"/>
  <c r="G88" i="4"/>
  <c r="H88" i="4" s="1"/>
  <c r="K87" i="4" a="1"/>
  <c r="K87" i="4" s="1"/>
  <c r="G87" i="4"/>
  <c r="H87" i="4" s="1"/>
  <c r="K86" i="4" a="1"/>
  <c r="K86" i="4" s="1"/>
  <c r="G86" i="4"/>
  <c r="H86" i="4" s="1"/>
  <c r="K85" i="4" a="1"/>
  <c r="K85" i="4" s="1"/>
  <c r="G85" i="4"/>
  <c r="H85" i="4" s="1"/>
  <c r="K84" i="4" a="1"/>
  <c r="K84" i="4" s="1"/>
  <c r="G84" i="4"/>
  <c r="H84" i="4" s="1"/>
  <c r="K83" i="4" a="1"/>
  <c r="K83" i="4" s="1"/>
  <c r="G83" i="4"/>
  <c r="H83" i="4" s="1"/>
  <c r="K82" i="4" a="1"/>
  <c r="K82" i="4" s="1"/>
  <c r="G82" i="4"/>
  <c r="H82" i="4" s="1"/>
  <c r="K81" i="4" a="1"/>
  <c r="K81" i="4" s="1"/>
  <c r="G81" i="4"/>
  <c r="H81" i="4" s="1"/>
  <c r="K80" i="4" a="1"/>
  <c r="K80" i="4" s="1"/>
  <c r="G80" i="4"/>
  <c r="H80" i="4" s="1"/>
  <c r="K79" i="4" a="1"/>
  <c r="K79" i="4" s="1"/>
  <c r="G79" i="4"/>
  <c r="H79" i="4" s="1"/>
  <c r="K78" i="4" a="1"/>
  <c r="K78" i="4" s="1"/>
  <c r="G78" i="4"/>
  <c r="H78" i="4" s="1"/>
  <c r="K77" i="4" a="1"/>
  <c r="K77" i="4" s="1"/>
  <c r="G77" i="4"/>
  <c r="H77" i="4" s="1"/>
  <c r="K76" i="4" a="1"/>
  <c r="K76" i="4" s="1"/>
  <c r="G76" i="4"/>
  <c r="H76" i="4" s="1"/>
  <c r="K75" i="4" a="1"/>
  <c r="K75" i="4" s="1"/>
  <c r="G75" i="4"/>
  <c r="H75" i="4" s="1"/>
  <c r="K74" i="4" a="1"/>
  <c r="K74" i="4" s="1"/>
  <c r="G74" i="4"/>
  <c r="H74" i="4" s="1"/>
  <c r="K73" i="4" a="1"/>
  <c r="K73" i="4" s="1"/>
  <c r="G73" i="4"/>
  <c r="H73" i="4" s="1"/>
  <c r="K72" i="4" a="1"/>
  <c r="K72" i="4" s="1"/>
  <c r="G72" i="4"/>
  <c r="H72" i="4" s="1"/>
  <c r="K71" i="4" a="1"/>
  <c r="K71" i="4" s="1"/>
  <c r="G71" i="4"/>
  <c r="H71" i="4" s="1"/>
  <c r="K70" i="4" a="1"/>
  <c r="K70" i="4" s="1"/>
  <c r="G70" i="4"/>
  <c r="H70" i="4" s="1"/>
  <c r="K69" i="4" a="1"/>
  <c r="K69" i="4" s="1"/>
  <c r="G69" i="4"/>
  <c r="H69" i="4" s="1"/>
  <c r="K68" i="4" a="1"/>
  <c r="K68" i="4" s="1"/>
  <c r="G68" i="4"/>
  <c r="H68" i="4" s="1"/>
  <c r="K67" i="4" a="1"/>
  <c r="K67" i="4" s="1"/>
  <c r="G67" i="4"/>
  <c r="H67" i="4" s="1"/>
  <c r="K66" i="4" a="1"/>
  <c r="K66" i="4" s="1"/>
  <c r="G66" i="4"/>
  <c r="H66" i="4" s="1"/>
  <c r="K65" i="4" a="1"/>
  <c r="K65" i="4" s="1"/>
  <c r="G65" i="4"/>
  <c r="H65" i="4" s="1"/>
  <c r="K64" i="4" a="1"/>
  <c r="K64" i="4" s="1"/>
  <c r="G64" i="4"/>
  <c r="H64" i="4" s="1"/>
  <c r="K63" i="4" a="1"/>
  <c r="K63" i="4" s="1"/>
  <c r="G63" i="4"/>
  <c r="H63" i="4" s="1"/>
  <c r="K62" i="4" a="1"/>
  <c r="K62" i="4" s="1"/>
  <c r="G62" i="4"/>
  <c r="H62" i="4" s="1"/>
  <c r="K61" i="4" a="1"/>
  <c r="K61" i="4" s="1"/>
  <c r="G61" i="4"/>
  <c r="H61" i="4" s="1"/>
  <c r="K60" i="4" a="1"/>
  <c r="K60" i="4" s="1"/>
  <c r="G60" i="4"/>
  <c r="H60" i="4" s="1"/>
  <c r="K59" i="4" a="1"/>
  <c r="K59" i="4" s="1"/>
  <c r="G59" i="4"/>
  <c r="H59" i="4" s="1"/>
  <c r="K58" i="4" a="1"/>
  <c r="K58" i="4" s="1"/>
  <c r="G58" i="4"/>
  <c r="H58" i="4" s="1"/>
  <c r="K57" i="4" a="1"/>
  <c r="K57" i="4" s="1"/>
  <c r="G57" i="4"/>
  <c r="H57" i="4" s="1"/>
  <c r="K56" i="4" a="1"/>
  <c r="K56" i="4" s="1"/>
  <c r="G56" i="4"/>
  <c r="H56" i="4" s="1"/>
  <c r="K55" i="4" a="1"/>
  <c r="K55" i="4" s="1"/>
  <c r="G55" i="4"/>
  <c r="H55" i="4" s="1"/>
  <c r="K54" i="4" a="1"/>
  <c r="K54" i="4" s="1"/>
  <c r="G54" i="4"/>
  <c r="H54" i="4" s="1"/>
  <c r="K53" i="4" a="1"/>
  <c r="K53" i="4" s="1"/>
  <c r="G53" i="4"/>
  <c r="H53" i="4" s="1"/>
  <c r="K52" i="4" a="1"/>
  <c r="K52" i="4" s="1"/>
  <c r="G52" i="4"/>
  <c r="H52" i="4" s="1"/>
  <c r="K51" i="4" a="1"/>
  <c r="K51" i="4" s="1"/>
  <c r="G51" i="4"/>
  <c r="H51" i="4" s="1"/>
  <c r="K50" i="4" a="1"/>
  <c r="K50" i="4" s="1"/>
  <c r="G50" i="4"/>
  <c r="H50" i="4" s="1"/>
  <c r="K49" i="4" a="1"/>
  <c r="K49" i="4" s="1"/>
  <c r="G49" i="4"/>
  <c r="H49" i="4" s="1"/>
  <c r="K48" i="4" a="1"/>
  <c r="K48" i="4" s="1"/>
  <c r="G48" i="4"/>
  <c r="H48" i="4" s="1"/>
  <c r="K47" i="4" a="1"/>
  <c r="K47" i="4" s="1"/>
  <c r="G47" i="4"/>
  <c r="H47" i="4" s="1"/>
  <c r="K46" i="4" a="1"/>
  <c r="K46" i="4" s="1"/>
  <c r="G46" i="4"/>
  <c r="H46" i="4" s="1"/>
  <c r="K45" i="4" a="1"/>
  <c r="K45" i="4" s="1"/>
  <c r="G45" i="4"/>
  <c r="H45" i="4" s="1"/>
  <c r="K44" i="4" a="1"/>
  <c r="K44" i="4" s="1"/>
  <c r="G44" i="4"/>
  <c r="H44" i="4" s="1"/>
  <c r="K43" i="4" a="1"/>
  <c r="K43" i="4" s="1"/>
  <c r="G43" i="4"/>
  <c r="H43" i="4" s="1"/>
  <c r="K42" i="4" a="1"/>
  <c r="K42" i="4" s="1"/>
  <c r="G42" i="4"/>
  <c r="H42" i="4" s="1"/>
  <c r="K41" i="4" a="1"/>
  <c r="K41" i="4" s="1"/>
  <c r="G41" i="4"/>
  <c r="H41" i="4" s="1"/>
  <c r="K40" i="4" a="1"/>
  <c r="K40" i="4" s="1"/>
  <c r="G40" i="4"/>
  <c r="H40" i="4" s="1"/>
  <c r="K39" i="4" a="1"/>
  <c r="K39" i="4" s="1"/>
  <c r="G39" i="4"/>
  <c r="H39" i="4" s="1"/>
  <c r="K38" i="4" a="1"/>
  <c r="K38" i="4" s="1"/>
  <c r="G38" i="4"/>
  <c r="H38" i="4" s="1"/>
  <c r="K37" i="4" a="1"/>
  <c r="K37" i="4" s="1"/>
  <c r="G37" i="4"/>
  <c r="H37" i="4" s="1"/>
  <c r="K36" i="4" a="1"/>
  <c r="K36" i="4" s="1"/>
  <c r="G36" i="4"/>
  <c r="H36" i="4" s="1"/>
  <c r="K35" i="4" a="1"/>
  <c r="K35" i="4" s="1"/>
  <c r="G35" i="4"/>
  <c r="H35" i="4" s="1"/>
  <c r="K34" i="4" a="1"/>
  <c r="K34" i="4" s="1"/>
  <c r="G34" i="4"/>
  <c r="H34" i="4" s="1"/>
  <c r="K33" i="4" a="1"/>
  <c r="K33" i="4" s="1"/>
  <c r="G33" i="4"/>
  <c r="H33" i="4" s="1"/>
  <c r="K32" i="4" a="1"/>
  <c r="K32" i="4" s="1"/>
  <c r="G32" i="4"/>
  <c r="H32" i="4" s="1"/>
  <c r="K31" i="4" a="1"/>
  <c r="K31" i="4" s="1"/>
  <c r="G31" i="4"/>
  <c r="H31" i="4" s="1"/>
  <c r="K30" i="4" a="1"/>
  <c r="K30" i="4" s="1"/>
  <c r="G30" i="4"/>
  <c r="H30" i="4" s="1"/>
  <c r="K29" i="4" a="1"/>
  <c r="K29" i="4" s="1"/>
  <c r="G29" i="4"/>
  <c r="H29" i="4" s="1"/>
  <c r="K28" i="4" a="1"/>
  <c r="K28" i="4" s="1"/>
  <c r="G28" i="4"/>
  <c r="H28" i="4" s="1"/>
  <c r="K27" i="4" a="1"/>
  <c r="K27" i="4" s="1"/>
  <c r="G27" i="4"/>
  <c r="H27" i="4" s="1"/>
  <c r="K26" i="4" a="1"/>
  <c r="K26" i="4" s="1"/>
  <c r="G26" i="4"/>
  <c r="H26" i="4" s="1"/>
  <c r="K25" i="4" a="1"/>
  <c r="K25" i="4" s="1"/>
  <c r="G25" i="4"/>
  <c r="H25" i="4" s="1"/>
  <c r="K24" i="4" a="1"/>
  <c r="K24" i="4" s="1"/>
  <c r="G24" i="4"/>
  <c r="H24" i="4" s="1"/>
  <c r="K23" i="4" a="1"/>
  <c r="K23" i="4" s="1"/>
  <c r="G23" i="4"/>
  <c r="H23" i="4" s="1"/>
  <c r="K22" i="4" a="1"/>
  <c r="K22" i="4" s="1"/>
  <c r="G22" i="4"/>
  <c r="H22" i="4" s="1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G16" i="4"/>
  <c r="H16" i="4" s="1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G10" i="4"/>
  <c r="H10" i="4" s="1"/>
  <c r="K9" i="4" a="1"/>
  <c r="K9" i="4" s="1"/>
  <c r="G9" i="4"/>
  <c r="H9" i="4" s="1"/>
  <c r="K8" i="4" a="1"/>
  <c r="K8" i="4" s="1"/>
  <c r="G8" i="4"/>
  <c r="H8" i="4" s="1"/>
  <c r="K7" i="4" a="1"/>
  <c r="K7" i="4" s="1"/>
  <c r="G7" i="4"/>
  <c r="H7" i="4" s="1"/>
  <c r="K6" i="4" a="1"/>
  <c r="K6" i="4" s="1"/>
  <c r="G6" i="4"/>
  <c r="H6" i="4" s="1"/>
  <c r="K5" i="4" a="1"/>
  <c r="K5" i="4" s="1"/>
  <c r="G5" i="4"/>
  <c r="H5" i="4" s="1"/>
  <c r="K4" i="4" a="1"/>
  <c r="K4" i="4" s="1"/>
  <c r="G4" i="4"/>
  <c r="H4" i="4" s="1"/>
  <c r="K3" i="4" a="1"/>
  <c r="K3" i="4" s="1"/>
  <c r="G3" i="4"/>
  <c r="H3" i="4" s="1"/>
  <c r="K2" i="4" a="1"/>
  <c r="K2" i="4" s="1"/>
  <c r="G2" i="4"/>
  <c r="H2" i="4" s="1"/>
  <c r="J156" i="3" a="1"/>
  <c r="J156" i="3" s="1"/>
  <c r="F156" i="3"/>
  <c r="G156" i="3" s="1"/>
  <c r="J155" i="3" a="1"/>
  <c r="J155" i="3" s="1"/>
  <c r="F155" i="3"/>
  <c r="G155" i="3" s="1"/>
  <c r="J154" i="3" a="1"/>
  <c r="J154" i="3" s="1"/>
  <c r="F154" i="3"/>
  <c r="G154" i="3" s="1"/>
  <c r="J153" i="3" a="1"/>
  <c r="J153" i="3" s="1"/>
  <c r="F153" i="3"/>
  <c r="G153" i="3" s="1"/>
  <c r="J152" i="3" a="1"/>
  <c r="J152" i="3" s="1"/>
  <c r="F152" i="3"/>
  <c r="G152" i="3" s="1"/>
  <c r="J151" i="3" a="1"/>
  <c r="J151" i="3" s="1"/>
  <c r="F151" i="3"/>
  <c r="G151" i="3" s="1"/>
  <c r="J150" i="3" a="1"/>
  <c r="J150" i="3" s="1"/>
  <c r="F150" i="3"/>
  <c r="G150" i="3" s="1"/>
  <c r="J149" i="3" a="1"/>
  <c r="J149" i="3" s="1"/>
  <c r="F149" i="3"/>
  <c r="G149" i="3" s="1"/>
  <c r="J148" i="3" a="1"/>
  <c r="J148" i="3" s="1"/>
  <c r="F148" i="3"/>
  <c r="G148" i="3" s="1"/>
  <c r="J147" i="3" a="1"/>
  <c r="J147" i="3" s="1"/>
  <c r="F147" i="3"/>
  <c r="G147" i="3" s="1"/>
  <c r="J146" i="3" a="1"/>
  <c r="J146" i="3" s="1"/>
  <c r="F146" i="3"/>
  <c r="G146" i="3" s="1"/>
  <c r="J145" i="3" a="1"/>
  <c r="J145" i="3" s="1"/>
  <c r="F145" i="3"/>
  <c r="G145" i="3" s="1"/>
  <c r="J141" i="3" a="1"/>
  <c r="J141" i="3" s="1"/>
  <c r="F141" i="3"/>
  <c r="G141" i="3" s="1"/>
  <c r="J136" i="3" a="1"/>
  <c r="J136" i="3" s="1"/>
  <c r="F136" i="3"/>
  <c r="G136" i="3" s="1"/>
  <c r="J142" i="3" a="1"/>
  <c r="J142" i="3" s="1"/>
  <c r="F142" i="3"/>
  <c r="G142" i="3" s="1"/>
  <c r="J143" i="3" a="1"/>
  <c r="J143" i="3" s="1"/>
  <c r="F143" i="3"/>
  <c r="G143" i="3" s="1"/>
  <c r="J144" i="3" a="1"/>
  <c r="J144" i="3" s="1"/>
  <c r="F144" i="3"/>
  <c r="G144" i="3" s="1"/>
  <c r="J139" i="3" a="1"/>
  <c r="J139" i="3" s="1"/>
  <c r="F139" i="3"/>
  <c r="G139" i="3" s="1"/>
  <c r="J137" i="3" a="1"/>
  <c r="J137" i="3" s="1"/>
  <c r="F137" i="3"/>
  <c r="G137" i="3" s="1"/>
  <c r="J138" i="3" a="1"/>
  <c r="J138" i="3" s="1"/>
  <c r="F138" i="3"/>
  <c r="G138" i="3" s="1"/>
  <c r="J140" i="3" a="1"/>
  <c r="J140" i="3" s="1"/>
  <c r="F140" i="3"/>
  <c r="G140" i="3" s="1"/>
  <c r="J135" i="3" a="1"/>
  <c r="J135" i="3" s="1"/>
  <c r="F135" i="3"/>
  <c r="G135" i="3" s="1"/>
  <c r="J134" i="3" a="1"/>
  <c r="J134" i="3" s="1"/>
  <c r="F134" i="3"/>
  <c r="G134" i="3" s="1"/>
  <c r="J133" i="3" a="1"/>
  <c r="J133" i="3" s="1"/>
  <c r="F133" i="3"/>
  <c r="G133" i="3" s="1"/>
  <c r="J132" i="3" a="1"/>
  <c r="J132" i="3" s="1"/>
  <c r="F132" i="3"/>
  <c r="G132" i="3" s="1"/>
  <c r="J131" i="3" a="1"/>
  <c r="J131" i="3" s="1"/>
  <c r="F131" i="3"/>
  <c r="G131" i="3" s="1"/>
  <c r="J130" i="3" a="1"/>
  <c r="J130" i="3" s="1"/>
  <c r="F130" i="3"/>
  <c r="G130" i="3" s="1"/>
  <c r="J129" i="3" a="1"/>
  <c r="J129" i="3" s="1"/>
  <c r="F129" i="3"/>
  <c r="G129" i="3" s="1"/>
  <c r="J128" i="3" a="1"/>
  <c r="J128" i="3" s="1"/>
  <c r="F128" i="3"/>
  <c r="G128" i="3" s="1"/>
  <c r="J127" i="3" a="1"/>
  <c r="J127" i="3" s="1"/>
  <c r="F127" i="3"/>
  <c r="G127" i="3" s="1"/>
  <c r="J126" i="3" a="1"/>
  <c r="J126" i="3" s="1"/>
  <c r="F126" i="3"/>
  <c r="G126" i="3" s="1"/>
  <c r="J125" i="3" a="1"/>
  <c r="J125" i="3" s="1"/>
  <c r="F125" i="3"/>
  <c r="G125" i="3" s="1"/>
  <c r="J124" i="3" a="1"/>
  <c r="J124" i="3" s="1"/>
  <c r="F124" i="3"/>
  <c r="G124" i="3" s="1"/>
  <c r="J123" i="3" a="1"/>
  <c r="J123" i="3" s="1"/>
  <c r="F123" i="3"/>
  <c r="G123" i="3" s="1"/>
  <c r="J122" i="3" a="1"/>
  <c r="J122" i="3" s="1"/>
  <c r="F122" i="3"/>
  <c r="G122" i="3" s="1"/>
  <c r="J121" i="3" a="1"/>
  <c r="J121" i="3" s="1"/>
  <c r="F121" i="3"/>
  <c r="G121" i="3" s="1"/>
  <c r="J120" i="3" a="1"/>
  <c r="J120" i="3" s="1"/>
  <c r="F120" i="3"/>
  <c r="G120" i="3" s="1"/>
  <c r="J119" i="3" a="1"/>
  <c r="J119" i="3" s="1"/>
  <c r="F119" i="3"/>
  <c r="G119" i="3" s="1"/>
  <c r="J118" i="3" a="1"/>
  <c r="J118" i="3" s="1"/>
  <c r="F118" i="3"/>
  <c r="G118" i="3" s="1"/>
  <c r="J117" i="3" a="1"/>
  <c r="J117" i="3" s="1"/>
  <c r="F117" i="3"/>
  <c r="G117" i="3" s="1"/>
  <c r="J116" i="3" a="1"/>
  <c r="J116" i="3" s="1"/>
  <c r="F116" i="3"/>
  <c r="G116" i="3" s="1"/>
  <c r="J115" i="3" a="1"/>
  <c r="J115" i="3" s="1"/>
  <c r="F115" i="3"/>
  <c r="G115" i="3" s="1"/>
  <c r="J114" i="3" a="1"/>
  <c r="J114" i="3" s="1"/>
  <c r="F114" i="3"/>
  <c r="G114" i="3" s="1"/>
  <c r="J113" i="3" a="1"/>
  <c r="J113" i="3" s="1"/>
  <c r="F113" i="3"/>
  <c r="G113" i="3" s="1"/>
  <c r="J112" i="3" a="1"/>
  <c r="J112" i="3" s="1"/>
  <c r="F112" i="3"/>
  <c r="G112" i="3" s="1"/>
  <c r="J111" i="3" a="1"/>
  <c r="J111" i="3" s="1"/>
  <c r="F111" i="3"/>
  <c r="G111" i="3" s="1"/>
  <c r="J110" i="3" a="1"/>
  <c r="J110" i="3" s="1"/>
  <c r="F110" i="3"/>
  <c r="G110" i="3" s="1"/>
  <c r="J109" i="3" a="1"/>
  <c r="J109" i="3" s="1"/>
  <c r="F109" i="3"/>
  <c r="G109" i="3" s="1"/>
  <c r="J108" i="3" a="1"/>
  <c r="J108" i="3" s="1"/>
  <c r="F108" i="3"/>
  <c r="G108" i="3" s="1"/>
  <c r="J107" i="3" a="1"/>
  <c r="J107" i="3" s="1"/>
  <c r="F107" i="3"/>
  <c r="G107" i="3" s="1"/>
  <c r="J106" i="3" a="1"/>
  <c r="J106" i="3" s="1"/>
  <c r="F106" i="3"/>
  <c r="G106" i="3" s="1"/>
  <c r="J105" i="3" a="1"/>
  <c r="J105" i="3" s="1"/>
  <c r="F105" i="3"/>
  <c r="G105" i="3" s="1"/>
  <c r="J104" i="3" a="1"/>
  <c r="J104" i="3" s="1"/>
  <c r="F104" i="3"/>
  <c r="G104" i="3" s="1"/>
  <c r="J103" i="3" a="1"/>
  <c r="J103" i="3" s="1"/>
  <c r="F103" i="3"/>
  <c r="G103" i="3" s="1"/>
  <c r="J102" i="3" a="1"/>
  <c r="J102" i="3" s="1"/>
  <c r="F102" i="3"/>
  <c r="G102" i="3" s="1"/>
  <c r="J101" i="3" a="1"/>
  <c r="J101" i="3" s="1"/>
  <c r="F101" i="3"/>
  <c r="G101" i="3" s="1"/>
  <c r="J100" i="3" a="1"/>
  <c r="J100" i="3" s="1"/>
  <c r="F100" i="3"/>
  <c r="G100" i="3" s="1"/>
  <c r="J99" i="3" a="1"/>
  <c r="J99" i="3" s="1"/>
  <c r="F99" i="3"/>
  <c r="G99" i="3" s="1"/>
  <c r="J98" i="3" a="1"/>
  <c r="J98" i="3" s="1"/>
  <c r="F98" i="3"/>
  <c r="G98" i="3" s="1"/>
  <c r="J97" i="3" a="1"/>
  <c r="J97" i="3" s="1"/>
  <c r="F97" i="3"/>
  <c r="G97" i="3" s="1"/>
  <c r="J96" i="3" a="1"/>
  <c r="J96" i="3" s="1"/>
  <c r="F96" i="3"/>
  <c r="G96" i="3" s="1"/>
  <c r="J95" i="3" a="1"/>
  <c r="J95" i="3" s="1"/>
  <c r="F95" i="3"/>
  <c r="G95" i="3" s="1"/>
  <c r="J94" i="3" a="1"/>
  <c r="J94" i="3" s="1"/>
  <c r="F94" i="3"/>
  <c r="G94" i="3" s="1"/>
  <c r="J93" i="3" a="1"/>
  <c r="J93" i="3" s="1"/>
  <c r="F93" i="3"/>
  <c r="G93" i="3" s="1"/>
  <c r="J92" i="3" a="1"/>
  <c r="J92" i="3" s="1"/>
  <c r="F92" i="3"/>
  <c r="G92" i="3" s="1"/>
  <c r="J91" i="3" a="1"/>
  <c r="J91" i="3" s="1"/>
  <c r="F91" i="3"/>
  <c r="G91" i="3" s="1"/>
  <c r="J90" i="3" a="1"/>
  <c r="J90" i="3" s="1"/>
  <c r="F90" i="3"/>
  <c r="G90" i="3" s="1"/>
  <c r="J89" i="3" a="1"/>
  <c r="J89" i="3" s="1"/>
  <c r="F89" i="3"/>
  <c r="G89" i="3" s="1"/>
  <c r="J88" i="3" a="1"/>
  <c r="J88" i="3" s="1"/>
  <c r="F88" i="3"/>
  <c r="G88" i="3" s="1"/>
  <c r="J87" i="3" a="1"/>
  <c r="J87" i="3" s="1"/>
  <c r="F87" i="3"/>
  <c r="G87" i="3" s="1"/>
  <c r="J86" i="3" a="1"/>
  <c r="J86" i="3" s="1"/>
  <c r="F86" i="3"/>
  <c r="G86" i="3" s="1"/>
  <c r="J85" i="3" a="1"/>
  <c r="J85" i="3" s="1"/>
  <c r="F85" i="3"/>
  <c r="G85" i="3" s="1"/>
  <c r="J84" i="3" a="1"/>
  <c r="J84" i="3" s="1"/>
  <c r="F84" i="3"/>
  <c r="G84" i="3" s="1"/>
  <c r="J83" i="3" a="1"/>
  <c r="J83" i="3" s="1"/>
  <c r="F83" i="3"/>
  <c r="G83" i="3" s="1"/>
  <c r="J82" i="3" a="1"/>
  <c r="J82" i="3" s="1"/>
  <c r="F82" i="3"/>
  <c r="G82" i="3" s="1"/>
  <c r="J81" i="3" a="1"/>
  <c r="J81" i="3" s="1"/>
  <c r="F81" i="3"/>
  <c r="G81" i="3" s="1"/>
  <c r="J80" i="3" a="1"/>
  <c r="J80" i="3" s="1"/>
  <c r="F80" i="3"/>
  <c r="G80" i="3" s="1"/>
  <c r="J79" i="3" a="1"/>
  <c r="J79" i="3" s="1"/>
  <c r="F79" i="3"/>
  <c r="G79" i="3" s="1"/>
  <c r="J78" i="3" a="1"/>
  <c r="J78" i="3" s="1"/>
  <c r="F78" i="3"/>
  <c r="G78" i="3" s="1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F74" i="3"/>
  <c r="G74" i="3" s="1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F66" i="3"/>
  <c r="G66" i="3" s="1"/>
  <c r="J65" i="3" a="1"/>
  <c r="J65" i="3" s="1"/>
  <c r="F65" i="3"/>
  <c r="G65" i="3" s="1"/>
  <c r="J64" i="3" a="1"/>
  <c r="J64" i="3" s="1"/>
  <c r="F64" i="3"/>
  <c r="G64" i="3" s="1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F58" i="3"/>
  <c r="G58" i="3" s="1"/>
  <c r="J57" i="3" a="1"/>
  <c r="J57" i="3" s="1"/>
  <c r="F57" i="3"/>
  <c r="G57" i="3" s="1"/>
  <c r="J56" i="3" a="1"/>
  <c r="J56" i="3" s="1"/>
  <c r="F56" i="3"/>
  <c r="G56" i="3" s="1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F50" i="3"/>
  <c r="G50" i="3" s="1"/>
  <c r="J49" i="3" a="1"/>
  <c r="J49" i="3" s="1"/>
  <c r="F49" i="3"/>
  <c r="G49" i="3" s="1"/>
  <c r="J48" i="3" a="1"/>
  <c r="J48" i="3" s="1"/>
  <c r="F48" i="3"/>
  <c r="G48" i="3" s="1"/>
  <c r="J47" i="3" a="1"/>
  <c r="J47" i="3" s="1"/>
  <c r="F47" i="3"/>
  <c r="G47" i="3" s="1"/>
  <c r="J46" i="3" a="1"/>
  <c r="J46" i="3" s="1"/>
  <c r="F46" i="3"/>
  <c r="G46" i="3" s="1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F42" i="3"/>
  <c r="G42" i="3" s="1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F34" i="3"/>
  <c r="G34" i="3" s="1"/>
  <c r="J33" i="3" a="1"/>
  <c r="J33" i="3" s="1"/>
  <c r="F33" i="3"/>
  <c r="G33" i="3" s="1"/>
  <c r="J32" i="3" a="1"/>
  <c r="J32" i="3" s="1"/>
  <c r="F32" i="3"/>
  <c r="G32" i="3" s="1"/>
  <c r="J31" i="3" a="1"/>
  <c r="J31" i="3" s="1"/>
  <c r="F31" i="3"/>
  <c r="G31" i="3" s="1"/>
  <c r="J30" i="3" a="1"/>
  <c r="J30" i="3" s="1"/>
  <c r="F30" i="3"/>
  <c r="G30" i="3" s="1"/>
  <c r="J29" i="3" a="1"/>
  <c r="J29" i="3" s="1"/>
  <c r="F29" i="3"/>
  <c r="G29" i="3" s="1"/>
  <c r="J28" i="3" a="1"/>
  <c r="J28" i="3" s="1"/>
  <c r="F28" i="3"/>
  <c r="G28" i="3" s="1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F24" i="3"/>
  <c r="G24" i="3" s="1"/>
  <c r="J23" i="3" a="1"/>
  <c r="J23" i="3" s="1"/>
  <c r="F23" i="3"/>
  <c r="G23" i="3" s="1"/>
  <c r="J22" i="3" a="1"/>
  <c r="J22" i="3" s="1"/>
  <c r="F22" i="3"/>
  <c r="G22" i="3" s="1"/>
  <c r="J21" i="3" a="1"/>
  <c r="J21" i="3" s="1"/>
  <c r="F21" i="3"/>
  <c r="G21" i="3" s="1"/>
  <c r="J20" i="3" a="1"/>
  <c r="J20" i="3" s="1"/>
  <c r="F20" i="3"/>
  <c r="G20" i="3" s="1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F16" i="3"/>
  <c r="G16" i="3" s="1"/>
  <c r="J15" i="3" a="1"/>
  <c r="J15" i="3" s="1"/>
  <c r="F15" i="3"/>
  <c r="G15" i="3" s="1"/>
  <c r="J14" i="3" a="1"/>
  <c r="J14" i="3" s="1"/>
  <c r="F14" i="3"/>
  <c r="G14" i="3" s="1"/>
  <c r="J13" i="3" a="1"/>
  <c r="J13" i="3" s="1"/>
  <c r="F13" i="3"/>
  <c r="G13" i="3" s="1"/>
  <c r="J12" i="3" a="1"/>
  <c r="J12" i="3" s="1"/>
  <c r="F12" i="3"/>
  <c r="G12" i="3" s="1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F8" i="3"/>
  <c r="G8" i="3" s="1"/>
  <c r="J7" i="3" a="1"/>
  <c r="J7" i="3" s="1"/>
  <c r="F7" i="3"/>
  <c r="G7" i="3" s="1"/>
  <c r="J6" i="3" a="1"/>
  <c r="J6" i="3" s="1"/>
  <c r="F6" i="3"/>
  <c r="G6" i="3" s="1"/>
  <c r="J5" i="3" a="1"/>
  <c r="J5" i="3" s="1"/>
  <c r="F5" i="3"/>
  <c r="G5" i="3" s="1"/>
  <c r="J4" i="3" a="1"/>
  <c r="J4" i="3" s="1"/>
  <c r="F4" i="3"/>
  <c r="G4" i="3" s="1"/>
  <c r="J3" i="3" a="1"/>
  <c r="J3" i="3" s="1"/>
  <c r="F3" i="3"/>
  <c r="G3" i="3" s="1"/>
  <c r="J2" i="3" a="1"/>
  <c r="J2" i="3" s="1"/>
  <c r="F2" i="3"/>
  <c r="G2" i="3" s="1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/>
  <c r="J93" i="1" a="1"/>
  <c r="J93" i="1"/>
  <c r="J94" i="1" a="1"/>
  <c r="J94" i="1" s="1"/>
  <c r="J95" i="1" a="1"/>
  <c r="J95" i="1" s="1"/>
  <c r="J96" i="1" a="1"/>
  <c r="J96" i="1"/>
  <c r="J97" i="1" a="1"/>
  <c r="J97" i="1"/>
  <c r="J98" i="1" a="1"/>
  <c r="J98" i="1" s="1"/>
  <c r="J99" i="1" a="1"/>
  <c r="J99" i="1" s="1"/>
  <c r="J100" i="1" a="1"/>
  <c r="J100" i="1"/>
  <c r="J101" i="1" a="1"/>
  <c r="J101" i="1"/>
  <c r="J102" i="1" a="1"/>
  <c r="J102" i="1" s="1"/>
  <c r="J103" i="1" a="1"/>
  <c r="J103" i="1" s="1"/>
  <c r="J104" i="1" a="1"/>
  <c r="J104" i="1"/>
  <c r="J105" i="1" a="1"/>
  <c r="J105" i="1"/>
  <c r="J106" i="1" a="1"/>
  <c r="J106" i="1" s="1"/>
  <c r="J107" i="1" a="1"/>
  <c r="J107" i="1" s="1"/>
  <c r="J108" i="1" a="1"/>
  <c r="J108" i="1"/>
  <c r="J109" i="1" a="1"/>
  <c r="J109" i="1"/>
  <c r="J110" i="1" a="1"/>
  <c r="J110" i="1" s="1"/>
  <c r="J111" i="1" a="1"/>
  <c r="J111" i="1" s="1"/>
  <c r="J112" i="1" a="1"/>
  <c r="J112" i="1"/>
  <c r="J113" i="1" a="1"/>
  <c r="J113" i="1"/>
  <c r="J114" i="1" a="1"/>
  <c r="J114" i="1" s="1"/>
  <c r="J115" i="1" a="1"/>
  <c r="J115" i="1" s="1"/>
  <c r="J116" i="1" a="1"/>
  <c r="J116" i="1" s="1"/>
  <c r="J117" i="1" a="1"/>
  <c r="J117" i="1"/>
  <c r="J118" i="1" a="1"/>
  <c r="J118" i="1" s="1"/>
  <c r="J119" i="1" a="1"/>
  <c r="J119" i="1" s="1"/>
  <c r="J120" i="1" a="1"/>
  <c r="J120" i="1"/>
  <c r="J121" i="1" a="1"/>
  <c r="J121" i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<sst xmlns="http://schemas.openxmlformats.org/spreadsheetml/2006/main" count="1477" uniqueCount="210">
  <si>
    <t>Row Labels</t>
  </si>
  <si>
    <t>Average of Retention %</t>
  </si>
  <si>
    <t>Acura</t>
  </si>
  <si>
    <t>Audi</t>
  </si>
  <si>
    <t>BMW</t>
  </si>
  <si>
    <t>Buick</t>
  </si>
  <si>
    <t>Cadillac</t>
  </si>
  <si>
    <t>Chevrolet</t>
  </si>
  <si>
    <t>Chrysler</t>
  </si>
  <si>
    <t>Dodge</t>
  </si>
  <si>
    <t>Ford</t>
  </si>
  <si>
    <t>Honda</t>
  </si>
  <si>
    <t>Hyundai</t>
  </si>
  <si>
    <t>Infiniti</t>
  </si>
  <si>
    <t>Jaguar</t>
  </si>
  <si>
    <t>Jeep</t>
  </si>
  <si>
    <t>Lexus</t>
  </si>
  <si>
    <t>Lincoln</t>
  </si>
  <si>
    <t>Mercedes-B</t>
  </si>
  <si>
    <t>Mercury</t>
  </si>
  <si>
    <t>Mitsubishi</t>
  </si>
  <si>
    <t>Nissan</t>
  </si>
  <si>
    <t>Oldsmobile</t>
  </si>
  <si>
    <t>Plymouth</t>
  </si>
  <si>
    <t>Pontiac</t>
  </si>
  <si>
    <t>Porsche</t>
  </si>
  <si>
    <t>Saab</t>
  </si>
  <si>
    <t>Saturn</t>
  </si>
  <si>
    <t>Subaru</t>
  </si>
  <si>
    <t>Toyota</t>
  </si>
  <si>
    <t>Volkswagen</t>
  </si>
  <si>
    <t>Volvo</t>
  </si>
  <si>
    <t>Grand Total</t>
  </si>
  <si>
    <t>Average of Year Resale Value</t>
  </si>
  <si>
    <t>Average of Price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</si>
  <si>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</si>
  <si>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</si>
  <si>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</si>
  <si>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</si>
  <si>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</si>
  <si>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</si>
  <si>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</si>
  <si>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</si>
  <si>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</si>
  <si>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</si>
  <si>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</si>
  <si>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</si>
  <si>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</si>
  <si>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</si>
  <si>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</si>
  <si>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</si>
  <si>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</si>
  <si>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</si>
  <si>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</si>
  <si>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</si>
  <si>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</si>
  <si>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</si>
  <si>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</si>
  <si>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A4</t>
  </si>
  <si>
    <t>A6</t>
  </si>
  <si>
    <t>A8</t>
  </si>
  <si>
    <t>323i</t>
  </si>
  <si>
    <t>328i</t>
  </si>
  <si>
    <t>528i</t>
  </si>
  <si>
    <t>Century</t>
  </si>
  <si>
    <t>Regal</t>
  </si>
  <si>
    <t>Park Avenue</t>
  </si>
  <si>
    <t>LeSabre</t>
  </si>
  <si>
    <t>DeVille</t>
  </si>
  <si>
    <t>Seville</t>
  </si>
  <si>
    <t>Eldorado</t>
  </si>
  <si>
    <t>Catera</t>
  </si>
  <si>
    <t>Escalade</t>
  </si>
  <si>
    <t>Car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</si>
  <si>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</si>
  <si>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</si>
  <si>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</si>
  <si>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</si>
  <si>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</si>
  <si>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</si>
  <si>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</si>
  <si>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</si>
  <si>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</si>
  <si>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Sebring Coupe</t>
  </si>
  <si>
    <t>Sebring Conv.</t>
  </si>
  <si>
    <t>Concorde</t>
  </si>
  <si>
    <t>Cirrus</t>
  </si>
  <si>
    <t>LHS</t>
  </si>
  <si>
    <t>300M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</si>
  <si>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</si>
  <si>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</si>
  <si>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</si>
  <si>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</si>
  <si>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</si>
  <si>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</si>
  <si>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</si>
  <si>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</si>
  <si>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</si>
  <si>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</si>
  <si>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</si>
  <si>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</si>
  <si>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</si>
  <si>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</si>
  <si>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</si>
  <si>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</si>
  <si>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</si>
  <si>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</si>
  <si>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</si>
  <si>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</si>
  <si>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</si>
  <si>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</si>
  <si>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</si>
  <si>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</si>
  <si>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</si>
  <si>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</si>
  <si>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</si>
  <si>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Accent</t>
  </si>
  <si>
    <t>Elantra</t>
  </si>
  <si>
    <t>Sonata</t>
  </si>
  <si>
    <t>I30</t>
  </si>
  <si>
    <t>S-Type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</si>
  <si>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</si>
  <si>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</si>
  <si>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</si>
  <si>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</si>
  <si>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</si>
  <si>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</si>
  <si>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</si>
  <si>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</si>
  <si>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</si>
  <si>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</si>
  <si>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</si>
  <si>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</si>
  <si>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</si>
  <si>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</si>
  <si>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</si>
  <si>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</si>
  <si>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</si>
  <si>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</si>
  <si>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</si>
  <si>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Mystique</t>
  </si>
  <si>
    <t>Cougar</t>
  </si>
  <si>
    <t>Sable</t>
  </si>
  <si>
    <t>Grand Marquis</t>
  </si>
  <si>
    <t>Mountaineer</t>
  </si>
  <si>
    <t>Villager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</si>
  <si>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</si>
  <si>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</si>
  <si>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</si>
  <si>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</si>
  <si>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</si>
  <si>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</si>
  <si>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</si>
  <si>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</si>
  <si>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</si>
  <si>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</si>
  <si>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</si>
  <si>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</si>
  <si>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</si>
  <si>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</si>
  <si>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</si>
  <si>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</si>
  <si>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Cutlass</t>
  </si>
  <si>
    <t>Intrigue</t>
  </si>
  <si>
    <t>Alero</t>
  </si>
  <si>
    <t>Aurora</t>
  </si>
  <si>
    <t>Bravada</t>
  </si>
  <si>
    <t>Silhouette</t>
  </si>
  <si>
    <t>Breeze</t>
  </si>
  <si>
    <t>Voyager</t>
  </si>
  <si>
    <t>Prowler</t>
  </si>
  <si>
    <t>Sunfire</t>
  </si>
  <si>
    <t>Grand Am</t>
  </si>
  <si>
    <t>Firebird</t>
  </si>
  <si>
    <t>Grand Prix</t>
  </si>
  <si>
    <t>Bonneville</t>
  </si>
  <si>
    <t>Montana</t>
  </si>
  <si>
    <t>Boxter</t>
  </si>
  <si>
    <t>Carrera Coupe</t>
  </si>
  <si>
    <t>Carrera Cabrio</t>
  </si>
  <si>
    <t>9-5</t>
  </si>
  <si>
    <t>9-3</t>
  </si>
  <si>
    <t>SL</t>
  </si>
  <si>
    <t>SC</t>
  </si>
  <si>
    <t>SW</t>
  </si>
  <si>
    <t>LW</t>
  </si>
  <si>
    <t>LS</t>
  </si>
  <si>
    <t>Outback</t>
  </si>
  <si>
    <t>Forester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</si>
  <si>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</si>
  <si>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</si>
  <si>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</si>
  <si>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</si>
  <si>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</si>
  <si>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</si>
  <si>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</si>
  <si>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</si>
  <si>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</si>
  <si>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Golf</t>
  </si>
  <si>
    <t>Jetta</t>
  </si>
  <si>
    <t>Passat</t>
  </si>
  <si>
    <t>Cabrio</t>
  </si>
  <si>
    <t>GTI</t>
  </si>
  <si>
    <t>Beetle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</si>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</sst>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[$$-409]#,##0.00"/>
    <numFmt numFmtId="166" formatCode="[$$-409]#,##0"/>
    <numFmt numFmtId="167" formatCode="_-[$$-409]* #,##0_ ;_-[$$-409]* \-#,##0\ ;_-[$$-409]* &quot;-&quot;??_ ;_-@_ "/>
    <numFmt numFmtId="168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5" fontId="16" fillId="12" borderId="0" xfId="21" applyNumberFormat="1" applyFont="1"/>
    <xf numFmtId="165" fontId="0" fillId="0" borderId="0" xfId="0" applyNumberFormat="1"/>
    <xf numFmtId="1" fontId="0" fillId="0" borderId="10" xfId="0" applyNumberFormat="1" applyBorder="1"/>
    <xf numFmtId="166" fontId="0" fillId="0" borderId="10" xfId="0" applyNumberFormat="1" applyBorder="1"/>
    <xf numFmtId="9" fontId="0" fillId="0" borderId="10" xfId="42" applyFont="1" applyBorder="1"/>
    <xf numFmtId="167" fontId="0" fillId="0" borderId="0" xfId="0" applyNumberForma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8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7"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numFmt numFmtId="16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70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[Car_Sales_Kaggle_DV0130EN_Lab1_Start.xlsx]Line Chart!PivotTable4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Retention % of</a:t>
            </a:r>
            <a:r>
              <a:rPr lang="en-US" baseline="0"/>
              <a:t> Japanese Auto Manufactures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Chart'!$A$4:$A$12</c:f>
              <c:strCache>
                <c:ptCount val="8"/>
                <c:pt idx="0">
                  <c:v>Acura</c:v>
                </c:pt>
                <c:pt idx="1">
                  <c:v>Honda</c:v>
                </c:pt>
                <c:pt idx="2">
                  <c:v>Infiniti</c:v>
                </c:pt>
                <c:pt idx="3">
                  <c:v>Lexus</c:v>
                </c:pt>
                <c:pt idx="4">
                  <c:v>Mitsubishi</c:v>
                </c:pt>
                <c:pt idx="5">
                  <c:v>Nissan</c:v>
                </c:pt>
                <c:pt idx="6">
                  <c:v>Subaru</c:v>
                </c:pt>
                <c:pt idx="7">
                  <c:v>Toyota</c:v>
                </c:pt>
              </c:strCache>
            </c:strRef>
          </c:cat>
          <c:val>
            <c:numRef>
              <c:f>'Line Chart'!$B$4:$B$12</c:f>
              <c:numCache>
                <c:formatCode>0%</c:formatCode>
                <c:ptCount val="8"/>
                <c:pt idx="0">
                  <c:v>0.72283075715273559</c:v>
                </c:pt>
                <c:pt idx="1">
                  <c:v>0.77905831386241042</c:v>
                </c:pt>
                <c:pt idx="2">
                  <c:v>0.66825046665535381</c:v>
                </c:pt>
                <c:pt idx="3">
                  <c:v>0.81091600903068206</c:v>
                </c:pt>
                <c:pt idx="4">
                  <c:v>0.6363812745454791</c:v>
                </c:pt>
                <c:pt idx="5">
                  <c:v>0.58818618467041606</c:v>
                </c:pt>
                <c:pt idx="6">
                  <c:v>0.73851166641203791</c:v>
                </c:pt>
                <c:pt idx="7">
                  <c:v>0.79241849164217193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A6-5545-86FB-AEA90F9EE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895152"/>
        <c:axId val="182262399"/>
      </c:lineChart>
      <c:catAx>
        <c:axId val="43689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82262399"/>
        <c:crosses val="autoZero"/>
        <c:auto val="1"/>
        <c:lblAlgn val="ctr"/>
        <c:lblOffset val="100"/>
        <c:noMultiLvlLbl val="0"/>
      </c:catAx>
      <c:valAx>
        <c:axId val="18226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3689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[Car_Sales_Kaggle_DV0130EN_Lab1_Start.xlsx]Bar Chart!PivotTable4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Chart'!$B$4:$B$14</c:f>
              <c:numCache>
                <c:formatCode>"$"#,##0.00</c:formatCode>
                <c:ptCount val="9"/>
                <c:pt idx="0">
                  <c:v>19425</c:v>
                </c:pt>
                <c:pt idx="1">
                  <c:v>18140</c:v>
                </c:pt>
                <c:pt idx="2">
                  <c:v>13245</c:v>
                </c:pt>
                <c:pt idx="3">
                  <c:v>15445</c:v>
                </c:pt>
                <c:pt idx="4">
                  <c:v>10025</c:v>
                </c:pt>
                <c:pt idx="5">
                  <c:v>34080</c:v>
                </c:pt>
                <c:pt idx="6">
                  <c:v>13325</c:v>
                </c:pt>
                <c:pt idx="7">
                  <c:v>18689</c:v>
                </c:pt>
                <c:pt idx="8">
                  <c:v>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5-7047-886B-40939B978EA3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Chart'!$C$4:$C$14</c:f>
              <c:numCache>
                <c:formatCode>"$"#,##0.00</c:formatCode>
                <c:ptCount val="9"/>
                <c:pt idx="0">
                  <c:v>22288</c:v>
                </c:pt>
                <c:pt idx="1">
                  <c:v>25545</c:v>
                </c:pt>
                <c:pt idx="2">
                  <c:v>17518</c:v>
                </c:pt>
                <c:pt idx="3">
                  <c:v>16875</c:v>
                </c:pt>
                <c:pt idx="4">
                  <c:v>13108</c:v>
                </c:pt>
                <c:pt idx="5">
                  <c:v>51728</c:v>
                </c:pt>
                <c:pt idx="6">
                  <c:v>16888</c:v>
                </c:pt>
                <c:pt idx="7">
                  <c:v>22368</c:v>
                </c:pt>
                <c:pt idx="8">
                  <c:v>11528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75-7047-886B-40939B978EA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12741232"/>
        <c:axId val="598515696"/>
      </c:barChart>
      <c:catAx>
        <c:axId val="712741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598515696"/>
        <c:crosses val="autoZero"/>
        <c:auto val="1"/>
        <c:lblAlgn val="ctr"/>
        <c:lblOffset val="100"/>
        <c:noMultiLvlLbl val="0"/>
      </c:catAx>
      <c:valAx>
        <c:axId val="59851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1274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Chart'!$C$2:$C$156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5-2C4A-BB9E-CE085FB8F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015343"/>
        <c:axId val="437033808"/>
      </c:areaChart>
      <c:catAx>
        <c:axId val="661015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37033808"/>
        <c:crosses val="autoZero"/>
        <c:auto val="1"/>
        <c:lblAlgn val="ctr"/>
        <c:lblOffset val="100"/>
        <c:noMultiLvlLbl val="0"/>
      </c:catAx>
      <c:valAx>
        <c:axId val="43703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66101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Perf Factor of Toyota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'Column Chart'!$B$2:$B$156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Chart'!$C$2:$C$156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7-3745-8636-E1C00DFBA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284565712"/>
        <c:axId val="399903568"/>
      </c:barChart>
      <c:catAx>
        <c:axId val="28456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99903568"/>
        <c:crosses val="autoZero"/>
        <c:auto val="1"/>
        <c:lblAlgn val="ctr"/>
        <c:lblOffset val="100"/>
        <c:noMultiLvlLbl val="0"/>
      </c:catAx>
      <c:valAx>
        <c:axId val="399903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8456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14</xdr:row>
      <xdr:rowOff>133350</xdr:rowOff>
    </xdr:from>
    <xdr:to>
      <xdr:col>5</xdr:col>
      <xdr:colOff>838200</xdr:colOff>
      <xdr:row>38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54FB09-99B1-294E-23D2-A3F553F07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15</xdr:row>
      <xdr:rowOff>31750</xdr:rowOff>
    </xdr:from>
    <xdr:to>
      <xdr:col>6</xdr:col>
      <xdr:colOff>241300</xdr:colOff>
      <xdr:row>37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3DA582-344F-E544-E689-24EF6E4CBD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157</xdr:row>
      <xdr:rowOff>165100</xdr:rowOff>
    </xdr:from>
    <xdr:to>
      <xdr:col>5</xdr:col>
      <xdr:colOff>279400</xdr:colOff>
      <xdr:row>179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1D7683-AFC8-5CF2-570A-128808551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157</xdr:row>
      <xdr:rowOff>63500</xdr:rowOff>
    </xdr:from>
    <xdr:to>
      <xdr:col>4</xdr:col>
      <xdr:colOff>850900</xdr:colOff>
      <xdr:row>174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95FF60-3EE6-83B7-116A-1DCDCAEA0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68" createdVersion="6" refreshedVersion="6" minRefreshableVersion="3" recordCount="155" xr:uid="{83312433-19CD-482C-8AD5-DC33EF26DB9D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5.99999999999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4.999999999993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6">
      <sharedItems containsSemiMixedTypes="0" containsString="0" containsNumb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39.999999999998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79.999999999998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6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Fuel Efficiency" numFmtId="0">
      <sharedItems containsSemiMixedTypes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1">
  <location ref="A3:B12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sd="0" x="11"/>
        <item h="1" sd="0" x="12"/>
        <item h="1" sd="0" x="13"/>
        <item sd="0" x="14"/>
        <item h="1" sd="0" x="15"/>
        <item h="1" sd="0" x="18"/>
        <item h="1" sd="0" x="17"/>
        <item sd="0" x="16"/>
        <item sd="0" x="19"/>
        <item h="1" sd="0" x="20"/>
        <item h="1" sd="0" x="21"/>
        <item h="1" sd="0" x="22"/>
        <item h="1" sd="0" x="23"/>
        <item h="1" sd="0" x="24"/>
        <item h="1" sd="0" x="25"/>
        <item sd="0" x="26"/>
        <item sd="0"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6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6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9">
    <i>
      <x/>
    </i>
    <i>
      <x v="9"/>
    </i>
    <i>
      <x v="11"/>
    </i>
    <i>
      <x v="14"/>
    </i>
    <i>
      <x v="18"/>
    </i>
    <i>
      <x v="19"/>
    </i>
    <i>
      <x v="26"/>
    </i>
    <i>
      <x v="27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76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75">
      <pivotArea outline="0" collapsedLevelsAreSubtotals="1" fieldPosition="0"/>
    </format>
    <format dxfId="74">
      <pivotArea dataOnly="0" labelOnly="1" outline="0" axis="axisValues" fieldPosition="0"/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1">
  <location ref="A3:C1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8"/>
        <item h="1" sd="0" x="17"/>
        <item h="1" sd="0" x="16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6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6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11">
    <i>
      <x v="27"/>
    </i>
    <i r="1">
      <x v="4"/>
    </i>
    <i r="1">
      <x v="16"/>
    </i>
    <i r="1">
      <x v="26"/>
    </i>
    <i r="1">
      <x v="33"/>
    </i>
    <i r="1">
      <x v="43"/>
    </i>
    <i r="1">
      <x v="82"/>
    </i>
    <i r="1">
      <x v="117"/>
    </i>
    <i r="1">
      <x v="131"/>
    </i>
    <i r="1">
      <x v="1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8"/>
    <dataField name="Average of Price" fld="4" subtotal="average" baseField="0" baseItem="78" numFmtId="168"/>
  </dataFields>
  <formats count="4">
    <format dxfId="7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69" headerRowCellStyle="60% - Accent1">
  <autoFilter ref="A1:S156" xr:uid="{142A1155-8F99-4580-8274-3FFCD265F860}">
    <filterColumn colId="0">
      <filters>
        <filter val="Toyota"/>
      </filters>
    </filterColumn>
  </autoFilter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68" dataCellStyle="60% - Accent2"/>
    <tableColumn id="1" xr3:uid="{91732ACF-B59B-4736-A06E-BE7ADB4669C2}" name="Model" dataDxfId="67" dataCellStyle="60% - Accent6"/>
    <tableColumn id="4" xr3:uid="{AC38EB39-9FE7-4815-9A95-BD4739621249}" name="Unit Sales" dataDxfId="66"/>
    <tableColumn id="5" xr3:uid="{48155666-2FFE-4435-98FA-77A71F62A4CD}" name="Price" dataDxfId="65"/>
    <tableColumn id="6" xr3:uid="{E6C9B305-43C4-4AA9-AF99-52F226A2A489}" name="Year Resale Value" dataDxfId="64"/>
    <tableColumn id="7" xr3:uid="{53AB75B2-B4C7-4B08-A310-E333B5D08F1E}" name="Retention %" dataDxfId="63" dataCellStyle="Percent">
      <calculatedColumnFormula>SUM(E2/D2)</calculatedColumnFormula>
    </tableColumn>
    <tableColumn id="8" xr3:uid="{14C0ED08-C800-44FC-AEFF-AD4CB3BA4CE3}" name="Retention Value" dataDxfId="62" dataCellStyle="Percent">
      <calculatedColumnFormula>IF(F2&gt;69%, "GOOD", "POOR")</calculatedColumnFormula>
    </tableColumn>
    <tableColumn id="9" xr3:uid="{2D1C7A45-6CF4-4F66-812C-40A50CEEFE3C}" name="Engine Size" dataDxfId="61"/>
    <tableColumn id="10" xr3:uid="{6F868495-C5F3-4EB0-A931-7DB5EE263B04}" name="Horsepower" dataDxfId="60"/>
    <tableColumn id="11" xr3:uid="{21D8283C-331B-4FBC-ADCB-511EC8FEEA5B}" name="HP Level" dataDxfId="59">
      <calculatedColumnFormula array="1">_xlfn.IFS(I2&gt;299,"High HP",I2&gt;99,"Medium HP",I2&lt;100,"Low HP")</calculatedColumnFormula>
    </tableColumn>
    <tableColumn id="3" xr3:uid="{D8DD2294-3DBB-4222-BDE1-25B41E8C6E23}" name="Vehicle_type" dataDxfId="58"/>
    <tableColumn id="17" xr3:uid="{41974CDD-17C2-4811-8CA1-4FE62EF36874}" name="Fuel Efficiency" dataDxfId="57"/>
    <tableColumn id="19" xr3:uid="{FF974689-EC10-4BD7-931E-F6D2FC8A04BB}" name="Power Perf Factor" dataDxfId="56"/>
    <tableColumn id="16" xr3:uid="{A47D6D7B-55BF-4939-8425-7A7DC0E408AE}" name="Fuel Capacity" dataDxfId="55"/>
    <tableColumn id="12" xr3:uid="{59E0B2CA-E73A-4CDD-A62F-F1A4C75E90F7}" name="Wheelbase" dataDxfId="54"/>
    <tableColumn id="13" xr3:uid="{1318511A-327E-4603-9CFA-8A67BC21BEB8}" name="Width" dataDxfId="53"/>
    <tableColumn id="14" xr3:uid="{B48108FE-8EF4-43AB-ACEA-F7B30A9D3C55}" name="Length" dataDxfId="52"/>
    <tableColumn id="15" xr3:uid="{1C70CD07-6AE4-4D29-95C6-1D02DF8772F3}" name="Curb Weight" dataDxfId="51"/>
    <tableColumn id="18" xr3:uid="{801588FA-173B-403F-BAF7-D1F66FFF62EA}" name="Latest Launch" dataDxfId="5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49" headerRowCellStyle="60% - Accent1">
  <autoFilter ref="A1:S156" xr:uid="{142A1155-8F99-4580-8274-3FFCD265F860}">
    <filterColumn colId="0">
      <filters>
        <filter val="Toyota"/>
      </filters>
    </filterColumn>
  </autoFilter>
  <tableColumns count="19">
    <tableColumn id="2" xr3:uid="{5BFF9CA1-D18F-48F8-B139-C94FCAB0E175}" name="Manufacturer" dataDxfId="48" dataCellStyle="60% - Accent2"/>
    <tableColumn id="1" xr3:uid="{43B3A4A3-6CC5-4B1F-9BA5-697A4F09A487}" name="Model" dataDxfId="47" dataCellStyle="60% - Accent6"/>
    <tableColumn id="19" xr3:uid="{5B90FD03-F436-4395-9630-5BC3AE66755A}" name="Power Perf Factor" dataDxfId="46" dataCellStyle="60% - Accent6"/>
    <tableColumn id="4" xr3:uid="{2F98F040-7842-4713-AEFE-12CD948B81ED}" name="Unit Sales" dataDxfId="45"/>
    <tableColumn id="5" xr3:uid="{6A58B398-9B8D-495F-8939-B398B67C09F9}" name="Price" dataDxfId="44"/>
    <tableColumn id="6" xr3:uid="{CFBD5404-82BE-457B-8590-AD11A6B7EF8F}" name="Year Resale Value" dataDxfId="43"/>
    <tableColumn id="7" xr3:uid="{7684E2FD-1B7C-4F58-8E02-AB765C88FB13}" name="Retention %" dataDxfId="42" dataCellStyle="Percent">
      <calculatedColumnFormula>SUM(F2/E2)</calculatedColumnFormula>
    </tableColumn>
    <tableColumn id="8" xr3:uid="{4F26BE56-C2D9-44F3-86FD-D2945E0358C0}" name="Retention Value" dataDxfId="41" dataCellStyle="Percent">
      <calculatedColumnFormula>IF(G2&gt;69%, "GOOD", "POOR")</calculatedColumnFormula>
    </tableColumn>
    <tableColumn id="9" xr3:uid="{E2821A61-E719-4923-891A-BCFDE42F66D0}" name="Engine Size" dataDxfId="40"/>
    <tableColumn id="10" xr3:uid="{16623E42-D7B5-47C4-B7B5-265380D2ACB5}" name="Horsepower" dataDxfId="39"/>
    <tableColumn id="11" xr3:uid="{D6BC5B95-B4B5-4D2C-B442-659931E923AB}" name="HP Level" dataDxfId="38">
      <calculatedColumnFormula array="1">_xlfn.IFS(J2&gt;299,"High HP",J2&gt;99,"Medium HP",J2&lt;100,"Low HP")</calculatedColumnFormula>
    </tableColumn>
    <tableColumn id="3" xr3:uid="{D89FC93A-602D-4147-B5D8-052BD3AAEFA9}" name="Vehicle_type" dataDxfId="37"/>
    <tableColumn id="17" xr3:uid="{09BC724F-FE73-4569-B3C5-F0F8A6DB4C85}" name="Fuel Efficiency" dataDxfId="36" dataCellStyle="60% - Accent6"/>
    <tableColumn id="12" xr3:uid="{55924A29-F156-4CD0-8425-CED32C98068B}" name="Wheelbase" dataDxfId="35"/>
    <tableColumn id="13" xr3:uid="{56DEB4B4-962C-464A-8CF0-5AF892D29D15}" name="Width" dataDxfId="34"/>
    <tableColumn id="14" xr3:uid="{1EDAA041-E793-4BBE-B154-A3806B225DA4}" name="Length" dataDxfId="33"/>
    <tableColumn id="15" xr3:uid="{8B517A00-9F46-45B8-851E-0C41E81C7F5A}" name="Curb Weight" dataDxfId="32"/>
    <tableColumn id="16" xr3:uid="{C0D2D5B9-1522-4D17-A522-05AF3FA10469}" name="Fuel Capacity" dataDxfId="31"/>
    <tableColumn id="18" xr3:uid="{8890314F-1652-4E10-ABA4-284B9415484A}" name="Latest Launch" dataDxfId="30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29" headerRowCellStyle="60% - Accent1">
  <autoFilter ref="A1:S156" xr:uid="{142A1155-8F99-4580-8274-3FFCD265F860}"/>
  <tableColumns count="19">
    <tableColumn id="2" xr3:uid="{0090DD31-AAEF-418B-A6D5-5A47F973884A}" name="Manufacturer" dataDxfId="28" dataCellStyle="60% - Accent2"/>
    <tableColumn id="1" xr3:uid="{1D457C4B-D2B8-4760-9FBD-20980339C812}" name="Model" dataDxfId="27" dataCellStyle="60% - Accent6"/>
    <tableColumn id="4" xr3:uid="{8522711B-6353-4D72-9921-4036DEB24699}" name="Unit Sales" dataDxfId="26"/>
    <tableColumn id="5" xr3:uid="{3F2EFF05-CEC1-43C4-8457-EC0A04BFE37D}" name="Price" dataDxfId="25"/>
    <tableColumn id="6" xr3:uid="{D0C7E9A3-6A78-4834-995F-71A07F7E5FEC}" name="Year Resale Value" dataDxfId="24"/>
    <tableColumn id="7" xr3:uid="{2892AE5C-2583-41F9-9297-9EA4C2895B5F}" name="Retention %" dataDxfId="23" dataCellStyle="Percent">
      <calculatedColumnFormula>SUM(E2/D2)</calculatedColumnFormula>
    </tableColumn>
    <tableColumn id="8" xr3:uid="{40A7E790-705B-474C-BD5E-B93CFDEAAD37}" name="Retention Value" dataDxfId="22" dataCellStyle="Percent">
      <calculatedColumnFormula>IF(F2&gt;69%, "GOOD", "POOR")</calculatedColumnFormula>
    </tableColumn>
    <tableColumn id="9" xr3:uid="{9FD1D782-0EB9-4AC8-9FB6-1F5437BC6100}" name="Engine Size" dataDxfId="21"/>
    <tableColumn id="10" xr3:uid="{97F7DE8D-9589-426B-AA4F-2E3F8BB7A81B}" name="Horsepower" dataDxfId="20"/>
    <tableColumn id="11" xr3:uid="{4CB9C68E-A6F1-497A-9877-E41495059145}" name="HP Level" dataDxfId="19">
      <calculatedColumnFormula array="1">_xlfn.IFS(I2&gt;299,"High HP",I2&gt;99,"Medium HP",I2&lt;100,"Low HP")</calculatedColumnFormula>
    </tableColumn>
    <tableColumn id="3" xr3:uid="{3733B2DD-D65D-439A-9EC2-28F65DC369D7}" name="Vehicle_type" dataDxfId="18"/>
    <tableColumn id="17" xr3:uid="{5136D0F0-2F8F-4D70-995F-CE39B1996127}" name="Fuel Efficiency" dataDxfId="17"/>
    <tableColumn id="19" xr3:uid="{5F133F36-F1C6-453A-A10C-A9917A623804}" name="Power Perf Factor" dataDxfId="16"/>
    <tableColumn id="12" xr3:uid="{6E551230-1170-40DA-8649-BDDA922271D8}" name="Wheelbase" dataDxfId="15"/>
    <tableColumn id="13" xr3:uid="{53A36FF3-E823-43B4-958B-9E02EC2B56F7}" name="Width" dataDxfId="14"/>
    <tableColumn id="14" xr3:uid="{0728B768-EB40-4E54-9F8B-8FC310D3272C}" name="Length" dataDxfId="13"/>
    <tableColumn id="15" xr3:uid="{2264EB11-0818-4B2A-A027-42B066FA9869}" name="Curb Weight" dataDxfId="12"/>
    <tableColumn id="16" xr3:uid="{58B24934-BE7E-4FBD-9F96-CEF0725C6117}" name="Fuel Capacity" dataDxfId="11"/>
    <tableColumn id="18" xr3:uid="{00FF364F-DDBE-4E2C-8F3E-DBDA321FA22A}" name="Latest Launch" dataDxfId="1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3:B43"/>
  <sheetViews>
    <sheetView tabSelected="1" workbookViewId="0">
      <selection activeCell="I15" sqref="I15"/>
    </sheetView>
  </sheetViews>
  <sheetFormatPr baseColWidth="10" defaultColWidth="8.83203125" defaultRowHeight="15" x14ac:dyDescent="0.2"/>
  <cols>
    <col min="1" max="1" width="12.1640625" bestFit="1" customWidth="1"/>
    <col min="2" max="2" width="19.33203125" style="17" bestFit="1" customWidth="1"/>
    <col min="3" max="3" width="26.1640625" bestFit="1" customWidth="1"/>
    <col min="4" max="4" width="20.33203125" bestFit="1" customWidth="1"/>
    <col min="5" max="5" width="10" bestFit="1" customWidth="1"/>
    <col min="6" max="6" width="17" bestFit="1" customWidth="1"/>
    <col min="7" max="7" width="21.6640625" bestFit="1" customWidth="1"/>
    <col min="8" max="135" width="6" bestFit="1" customWidth="1"/>
    <col min="136" max="156" width="7" bestFit="1" customWidth="1"/>
    <col min="157" max="157" width="11.33203125" bestFit="1" customWidth="1"/>
  </cols>
  <sheetData>
    <row r="3" spans="1:2" x14ac:dyDescent="0.2">
      <c r="A3" s="15" t="s">
        <v>0</v>
      </c>
      <c r="B3" s="17" t="s">
        <v>1</v>
      </c>
    </row>
    <row r="4" spans="1:2" x14ac:dyDescent="0.2">
      <c r="A4" s="16" t="s">
        <v>2</v>
      </c>
      <c r="B4" s="17">
        <v>0.72283075715273559</v>
      </c>
    </row>
    <row r="5" spans="1:2" x14ac:dyDescent="0.2">
      <c r="A5" s="16" t="s">
        <v>11</v>
      </c>
      <c r="B5" s="17">
        <v>0.77905831386241042</v>
      </c>
    </row>
    <row r="6" spans="1:2" x14ac:dyDescent="0.2">
      <c r="A6" s="16" t="s">
        <v>13</v>
      </c>
      <c r="B6" s="17">
        <v>0.66825046665535381</v>
      </c>
    </row>
    <row r="7" spans="1:2" x14ac:dyDescent="0.2">
      <c r="A7" s="16" t="s">
        <v>16</v>
      </c>
      <c r="B7" s="17">
        <v>0.81091600903068206</v>
      </c>
    </row>
    <row r="8" spans="1:2" x14ac:dyDescent="0.2">
      <c r="A8" s="16" t="s">
        <v>20</v>
      </c>
      <c r="B8" s="17">
        <v>0.6363812745454791</v>
      </c>
    </row>
    <row r="9" spans="1:2" x14ac:dyDescent="0.2">
      <c r="A9" s="16" t="s">
        <v>21</v>
      </c>
      <c r="B9" s="17">
        <v>0.58818618467041606</v>
      </c>
    </row>
    <row r="10" spans="1:2" x14ac:dyDescent="0.2">
      <c r="A10" s="16" t="s">
        <v>28</v>
      </c>
      <c r="B10" s="17">
        <v>0.73851166641203791</v>
      </c>
    </row>
    <row r="11" spans="1:2" x14ac:dyDescent="0.2">
      <c r="A11" s="16" t="s">
        <v>29</v>
      </c>
      <c r="B11" s="17">
        <v>0.79241849164217193</v>
      </c>
    </row>
    <row r="12" spans="1:2" x14ac:dyDescent="0.2">
      <c r="A12" s="16" t="s">
        <v>32</v>
      </c>
      <c r="B12" s="17">
        <v>0.71945730834311494</v>
      </c>
    </row>
    <row r="13" spans="1:2" x14ac:dyDescent="0.2">
      <c r="B13"/>
    </row>
    <row r="14" spans="1:2" x14ac:dyDescent="0.2">
      <c r="B14"/>
    </row>
    <row r="15" spans="1:2" x14ac:dyDescent="0.2">
      <c r="B15"/>
    </row>
    <row r="16" spans="1:2" x14ac:dyDescent="0.2">
      <c r="B16"/>
    </row>
    <row r="17" spans="2:2" x14ac:dyDescent="0.2">
      <c r="B17"/>
    </row>
    <row r="18" spans="2:2" x14ac:dyDescent="0.2">
      <c r="B18"/>
    </row>
    <row r="19" spans="2:2" x14ac:dyDescent="0.2">
      <c r="B19"/>
    </row>
    <row r="20" spans="2:2" x14ac:dyDescent="0.2">
      <c r="B20"/>
    </row>
    <row r="21" spans="2:2" x14ac:dyDescent="0.2">
      <c r="B21"/>
    </row>
    <row r="22" spans="2:2" x14ac:dyDescent="0.2">
      <c r="B22"/>
    </row>
    <row r="23" spans="2:2" x14ac:dyDescent="0.2">
      <c r="B23"/>
    </row>
    <row r="24" spans="2:2" x14ac:dyDescent="0.2">
      <c r="B24"/>
    </row>
    <row r="25" spans="2:2" x14ac:dyDescent="0.2">
      <c r="B25"/>
    </row>
    <row r="26" spans="2:2" x14ac:dyDescent="0.2">
      <c r="B26"/>
    </row>
    <row r="27" spans="2:2" x14ac:dyDescent="0.2">
      <c r="B27"/>
    </row>
    <row r="28" spans="2:2" x14ac:dyDescent="0.2">
      <c r="B28"/>
    </row>
    <row r="29" spans="2:2" x14ac:dyDescent="0.2">
      <c r="B29"/>
    </row>
    <row r="30" spans="2:2" x14ac:dyDescent="0.2">
      <c r="B30"/>
    </row>
    <row r="31" spans="2:2" x14ac:dyDescent="0.2">
      <c r="B31"/>
    </row>
    <row r="32" spans="2:2" x14ac:dyDescent="0.2">
      <c r="B32"/>
    </row>
    <row r="33" spans="2:2" x14ac:dyDescent="0.2">
      <c r="B33"/>
    </row>
    <row r="34" spans="2:2" x14ac:dyDescent="0.2">
      <c r="B34"/>
    </row>
    <row r="35" spans="2:2" x14ac:dyDescent="0.2">
      <c r="B35"/>
    </row>
    <row r="36" spans="2:2" x14ac:dyDescent="0.2">
      <c r="B36"/>
    </row>
    <row r="37" spans="2:2" x14ac:dyDescent="0.2">
      <c r="B37"/>
    </row>
    <row r="38" spans="2:2" x14ac:dyDescent="0.2">
      <c r="B38"/>
    </row>
    <row r="39" spans="2:2" x14ac:dyDescent="0.2">
      <c r="B39"/>
    </row>
    <row r="40" spans="2:2" x14ac:dyDescent="0.2">
      <c r="B40"/>
    </row>
    <row r="41" spans="2:2" x14ac:dyDescent="0.2">
      <c r="B41"/>
    </row>
    <row r="42" spans="2:2" x14ac:dyDescent="0.2">
      <c r="B42"/>
    </row>
    <row r="43" spans="2:2" x14ac:dyDescent="0.2">
      <c r="B43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3:F37"/>
  <sheetViews>
    <sheetView workbookViewId="0">
      <selection activeCell="G7" sqref="G7"/>
    </sheetView>
  </sheetViews>
  <sheetFormatPr baseColWidth="10" defaultColWidth="8.83203125" defaultRowHeight="15" x14ac:dyDescent="0.2"/>
  <cols>
    <col min="1" max="1" width="14.1640625" bestFit="1" customWidth="1"/>
    <col min="2" max="2" width="23.6640625" style="18" bestFit="1" customWidth="1"/>
    <col min="3" max="3" width="13.6640625" style="18" bestFit="1" customWidth="1"/>
    <col min="4" max="4" width="23.83203125" bestFit="1" customWidth="1"/>
    <col min="5" max="5" width="10" bestFit="1" customWidth="1"/>
    <col min="6" max="6" width="17" bestFit="1" customWidth="1"/>
    <col min="7" max="7" width="21.6640625" bestFit="1" customWidth="1"/>
    <col min="8" max="135" width="6" bestFit="1" customWidth="1"/>
    <col min="136" max="156" width="7" bestFit="1" customWidth="1"/>
    <col min="157" max="157" width="11.33203125" bestFit="1" customWidth="1"/>
  </cols>
  <sheetData>
    <row r="3" spans="1:6" x14ac:dyDescent="0.2">
      <c r="A3" s="15" t="s">
        <v>0</v>
      </c>
      <c r="B3" s="18" t="s">
        <v>33</v>
      </c>
      <c r="C3" s="18" t="s">
        <v>34</v>
      </c>
    </row>
    <row r="4" spans="1:6" x14ac:dyDescent="0.2">
      <c r="A4" s="16" t="s">
        <v>29</v>
      </c>
      <c r="B4" s="18">
        <v>16883.222222222223</v>
      </c>
      <c r="C4" s="18">
        <v>21982.888888888891</v>
      </c>
    </row>
    <row r="5" spans="1:6" x14ac:dyDescent="0.2">
      <c r="A5" s="20" t="s">
        <v>189</v>
      </c>
      <c r="B5" s="18">
        <v>19425</v>
      </c>
      <c r="C5" s="18">
        <v>22288</v>
      </c>
    </row>
    <row r="6" spans="1:6" x14ac:dyDescent="0.2">
      <c r="A6" s="20" t="s">
        <v>190</v>
      </c>
      <c r="B6" s="18">
        <v>18140</v>
      </c>
      <c r="C6" s="18">
        <v>25545</v>
      </c>
    </row>
    <row r="7" spans="1:6" x14ac:dyDescent="0.2">
      <c r="A7" s="20" t="s">
        <v>191</v>
      </c>
      <c r="B7" s="18">
        <v>13245</v>
      </c>
      <c r="C7" s="18">
        <v>17518</v>
      </c>
      <c r="F7" s="19"/>
    </row>
    <row r="8" spans="1:6" x14ac:dyDescent="0.2">
      <c r="A8" s="20" t="s">
        <v>192</v>
      </c>
      <c r="B8" s="18">
        <v>15445</v>
      </c>
      <c r="C8" s="18">
        <v>16875</v>
      </c>
    </row>
    <row r="9" spans="1:6" x14ac:dyDescent="0.2">
      <c r="A9" s="20" t="s">
        <v>193</v>
      </c>
      <c r="B9" s="18">
        <v>10025</v>
      </c>
      <c r="C9" s="18">
        <v>13108</v>
      </c>
    </row>
    <row r="10" spans="1:6" x14ac:dyDescent="0.2">
      <c r="A10" s="20" t="s">
        <v>194</v>
      </c>
      <c r="B10" s="18">
        <v>34080</v>
      </c>
      <c r="C10" s="18">
        <v>51728</v>
      </c>
    </row>
    <row r="11" spans="1:6" x14ac:dyDescent="0.2">
      <c r="A11" s="20" t="s">
        <v>195</v>
      </c>
      <c r="B11" s="18">
        <v>13325</v>
      </c>
      <c r="C11" s="18">
        <v>16888</v>
      </c>
    </row>
    <row r="12" spans="1:6" x14ac:dyDescent="0.2">
      <c r="A12" s="20" t="s">
        <v>196</v>
      </c>
      <c r="B12" s="18">
        <v>18689</v>
      </c>
      <c r="C12" s="18">
        <v>22368</v>
      </c>
    </row>
    <row r="13" spans="1:6" x14ac:dyDescent="0.2">
      <c r="A13" s="20" t="s">
        <v>197</v>
      </c>
      <c r="B13" s="18">
        <v>9575</v>
      </c>
      <c r="C13" s="18">
        <v>11528</v>
      </c>
    </row>
    <row r="14" spans="1:6" x14ac:dyDescent="0.2">
      <c r="A14" s="16" t="s">
        <v>32</v>
      </c>
      <c r="B14" s="18">
        <v>16883.222222222223</v>
      </c>
      <c r="C14" s="18">
        <v>21982.888888888891</v>
      </c>
    </row>
    <row r="15" spans="1:6" x14ac:dyDescent="0.2">
      <c r="B15"/>
      <c r="C15"/>
    </row>
    <row r="16" spans="1:6" x14ac:dyDescent="0.2">
      <c r="B16"/>
      <c r="C16"/>
    </row>
    <row r="17" spans="2:3" x14ac:dyDescent="0.2">
      <c r="B17"/>
      <c r="C17"/>
    </row>
    <row r="18" spans="2:3" x14ac:dyDescent="0.2">
      <c r="B18"/>
      <c r="C18"/>
    </row>
    <row r="19" spans="2:3" x14ac:dyDescent="0.2">
      <c r="B19"/>
      <c r="C19"/>
    </row>
    <row r="20" spans="2:3" x14ac:dyDescent="0.2">
      <c r="B20"/>
      <c r="C20"/>
    </row>
    <row r="21" spans="2:3" x14ac:dyDescent="0.2">
      <c r="B21"/>
      <c r="C21"/>
    </row>
    <row r="22" spans="2:3" x14ac:dyDescent="0.2">
      <c r="B22"/>
      <c r="C22"/>
    </row>
    <row r="23" spans="2:3" x14ac:dyDescent="0.2">
      <c r="B23"/>
      <c r="C23"/>
    </row>
    <row r="24" spans="2:3" x14ac:dyDescent="0.2">
      <c r="B24"/>
      <c r="C24"/>
    </row>
    <row r="25" spans="2:3" x14ac:dyDescent="0.2">
      <c r="B25"/>
      <c r="C25"/>
    </row>
    <row r="26" spans="2:3" x14ac:dyDescent="0.2">
      <c r="B26"/>
      <c r="C26"/>
    </row>
    <row r="27" spans="2:3" x14ac:dyDescent="0.2">
      <c r="B27"/>
      <c r="C27"/>
    </row>
    <row r="28" spans="2:3" x14ac:dyDescent="0.2">
      <c r="B28"/>
      <c r="C28"/>
    </row>
    <row r="29" spans="2:3" x14ac:dyDescent="0.2">
      <c r="B29"/>
      <c r="C29"/>
    </row>
    <row r="30" spans="2:3" x14ac:dyDescent="0.2">
      <c r="B30"/>
      <c r="C30"/>
    </row>
    <row r="31" spans="2:3" x14ac:dyDescent="0.2">
      <c r="B31"/>
      <c r="C31"/>
    </row>
    <row r="32" spans="2:3" x14ac:dyDescent="0.2">
      <c r="B32"/>
      <c r="C32"/>
    </row>
    <row r="33" spans="2:3" x14ac:dyDescent="0.2">
      <c r="B33"/>
      <c r="C33"/>
    </row>
    <row r="34" spans="2:3" x14ac:dyDescent="0.2">
      <c r="B34"/>
      <c r="C34"/>
    </row>
    <row r="35" spans="2:3" x14ac:dyDescent="0.2">
      <c r="B35"/>
    </row>
    <row r="36" spans="2:3" x14ac:dyDescent="0.2">
      <c r="B36"/>
    </row>
    <row r="37" spans="2:3" x14ac:dyDescent="0.2">
      <c r="B37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zoomScaleNormal="100" workbookViewId="0">
      <selection activeCell="G175" sqref="G175"/>
    </sheetView>
  </sheetViews>
  <sheetFormatPr baseColWidth="10" defaultColWidth="9.1640625" defaultRowHeight="15" x14ac:dyDescent="0.2"/>
  <cols>
    <col min="1" max="1" width="15.33203125" customWidth="1"/>
    <col min="2" max="2" width="15.5" bestFit="1" customWidth="1"/>
    <col min="3" max="3" width="20.5" bestFit="1" customWidth="1"/>
    <col min="4" max="4" width="12.6640625" style="9" customWidth="1"/>
    <col min="5" max="5" width="19.5" bestFit="1" customWidth="1"/>
    <col min="6" max="6" width="14" customWidth="1"/>
    <col min="7" max="7" width="17.5" customWidth="1"/>
    <col min="8" max="8" width="13.1640625" customWidth="1"/>
    <col min="9" max="9" width="14" customWidth="1"/>
    <col min="10" max="10" width="11.83203125" customWidth="1"/>
    <col min="11" max="11" width="14.83203125" customWidth="1"/>
    <col min="12" max="12" width="14.6640625" customWidth="1"/>
    <col min="13" max="13" width="17.83203125" customWidth="1"/>
    <col min="14" max="14" width="13.1640625" hidden="1" customWidth="1"/>
    <col min="15" max="15" width="11" hidden="1" customWidth="1"/>
    <col min="16" max="16" width="6.5" hidden="1" customWidth="1"/>
    <col min="17" max="17" width="7" hidden="1" customWidth="1"/>
    <col min="18" max="18" width="12.33203125" hidden="1" customWidth="1"/>
    <col min="19" max="19" width="13.5" hidden="1" customWidth="1"/>
    <col min="23" max="23" width="11.33203125" bestFit="1" customWidth="1"/>
    <col min="24" max="24" width="7.5" bestFit="1" customWidth="1"/>
    <col min="25" max="25" width="11.5" bestFit="1" customWidth="1"/>
    <col min="26" max="26" width="7.83203125" bestFit="1" customWidth="1"/>
    <col min="27" max="27" width="16.5" bestFit="1" customWidth="1"/>
  </cols>
  <sheetData>
    <row r="1" spans="1:23" s="1" customFormat="1" x14ac:dyDescent="0.2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</row>
    <row r="2" spans="1:23" hidden="1" x14ac:dyDescent="0.2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hidden="1" x14ac:dyDescent="0.2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66" si="1"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hidden="1" x14ac:dyDescent="0.2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hidden="1" x14ac:dyDescent="0.2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hidden="1" x14ac:dyDescent="0.2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hidden="1" x14ac:dyDescent="0.2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hidden="1" x14ac:dyDescent="0.2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hidden="1" x14ac:dyDescent="0.2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hidden="1" x14ac:dyDescent="0.2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hidden="1" x14ac:dyDescent="0.2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hidden="1" x14ac:dyDescent="0.2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hidden="1" x14ac:dyDescent="0.2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hidden="1" x14ac:dyDescent="0.2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hidden="1" x14ac:dyDescent="0.2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hidden="1" x14ac:dyDescent="0.2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hidden="1" x14ac:dyDescent="0.2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hidden="1" x14ac:dyDescent="0.2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hidden="1" x14ac:dyDescent="0.2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hidden="1" x14ac:dyDescent="0.2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hidden="1" x14ac:dyDescent="0.2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</row>
    <row r="22" spans="1:26" hidden="1" x14ac:dyDescent="0.2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hidden="1" x14ac:dyDescent="0.2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hidden="1" x14ac:dyDescent="0.2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hidden="1" x14ac:dyDescent="0.2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hidden="1" x14ac:dyDescent="0.2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hidden="1" x14ac:dyDescent="0.2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hidden="1" x14ac:dyDescent="0.2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hidden="1" x14ac:dyDescent="0.2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hidden="1" x14ac:dyDescent="0.2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hidden="1" x14ac:dyDescent="0.2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hidden="1" x14ac:dyDescent="0.2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hidden="1" x14ac:dyDescent="0.2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hidden="1" x14ac:dyDescent="0.2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hidden="1" x14ac:dyDescent="0.2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hidden="1" x14ac:dyDescent="0.2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hidden="1" x14ac:dyDescent="0.2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hidden="1" x14ac:dyDescent="0.2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hidden="1" x14ac:dyDescent="0.2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hidden="1" x14ac:dyDescent="0.2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hidden="1" x14ac:dyDescent="0.2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hidden="1" x14ac:dyDescent="0.2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hidden="1" x14ac:dyDescent="0.2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hidden="1" x14ac:dyDescent="0.2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hidden="1" x14ac:dyDescent="0.2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hidden="1" x14ac:dyDescent="0.2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hidden="1" x14ac:dyDescent="0.2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hidden="1" x14ac:dyDescent="0.2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hidden="1" x14ac:dyDescent="0.2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hidden="1" x14ac:dyDescent="0.2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hidden="1" x14ac:dyDescent="0.2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hidden="1" x14ac:dyDescent="0.2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hidden="1" x14ac:dyDescent="0.2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hidden="1" x14ac:dyDescent="0.2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hidden="1" x14ac:dyDescent="0.2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hidden="1" x14ac:dyDescent="0.2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hidden="1" x14ac:dyDescent="0.2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hidden="1" x14ac:dyDescent="0.2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hidden="1" x14ac:dyDescent="0.2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hidden="1" x14ac:dyDescent="0.2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hidden="1" x14ac:dyDescent="0.2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hidden="1" x14ac:dyDescent="0.2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hidden="1" x14ac:dyDescent="0.2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hidden="1" x14ac:dyDescent="0.2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hidden="1" x14ac:dyDescent="0.2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hidden="1" x14ac:dyDescent="0.2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hidden="1" x14ac:dyDescent="0.2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hidden="1" x14ac:dyDescent="0.2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hidden="1" x14ac:dyDescent="0.2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hidden="1" x14ac:dyDescent="0.2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hidden="1" x14ac:dyDescent="0.2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hidden="1" x14ac:dyDescent="0.2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hidden="1" x14ac:dyDescent="0.2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hidden="1" x14ac:dyDescent="0.2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hidden="1" x14ac:dyDescent="0.2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hidden="1" x14ac:dyDescent="0.2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hidden="1" x14ac:dyDescent="0.2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hidden="1" x14ac:dyDescent="0.2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hidden="1" x14ac:dyDescent="0.2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hidden="1" x14ac:dyDescent="0.2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hidden="1" x14ac:dyDescent="0.2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hidden="1" x14ac:dyDescent="0.2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hidden="1" x14ac:dyDescent="0.2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hidden="1" x14ac:dyDescent="0.2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hidden="1" x14ac:dyDescent="0.2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hidden="1" x14ac:dyDescent="0.2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hidden="1" x14ac:dyDescent="0.2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hidden="1" x14ac:dyDescent="0.2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hidden="1" x14ac:dyDescent="0.2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hidden="1" x14ac:dyDescent="0.2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hidden="1" x14ac:dyDescent="0.2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hidden="1" x14ac:dyDescent="0.2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hidden="1" x14ac:dyDescent="0.2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hidden="1" x14ac:dyDescent="0.2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hidden="1" x14ac:dyDescent="0.2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hidden="1" x14ac:dyDescent="0.2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hidden="1" x14ac:dyDescent="0.2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hidden="1" x14ac:dyDescent="0.2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hidden="1" x14ac:dyDescent="0.2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hidden="1" x14ac:dyDescent="0.2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hidden="1" x14ac:dyDescent="0.2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hidden="1" x14ac:dyDescent="0.2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hidden="1" x14ac:dyDescent="0.2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hidden="1" x14ac:dyDescent="0.2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hidden="1" x14ac:dyDescent="0.2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hidden="1" x14ac:dyDescent="0.2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hidden="1" x14ac:dyDescent="0.2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hidden="1" x14ac:dyDescent="0.2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hidden="1" x14ac:dyDescent="0.2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hidden="1" x14ac:dyDescent="0.2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hidden="1" x14ac:dyDescent="0.2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hidden="1" x14ac:dyDescent="0.2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hidden="1" x14ac:dyDescent="0.2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hidden="1" x14ac:dyDescent="0.2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hidden="1" x14ac:dyDescent="0.2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hidden="1" x14ac:dyDescent="0.2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hidden="1" x14ac:dyDescent="0.2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hidden="1" x14ac:dyDescent="0.2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hidden="1" x14ac:dyDescent="0.2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hidden="1" x14ac:dyDescent="0.2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hidden="1" x14ac:dyDescent="0.2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hidden="1" x14ac:dyDescent="0.2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hidden="1" x14ac:dyDescent="0.2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hidden="1" x14ac:dyDescent="0.2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hidden="1" x14ac:dyDescent="0.2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hidden="1" x14ac:dyDescent="0.2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hidden="1" x14ac:dyDescent="0.2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hidden="1" x14ac:dyDescent="0.2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hidden="1" x14ac:dyDescent="0.2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hidden="1" x14ac:dyDescent="0.2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hidden="1" x14ac:dyDescent="0.2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hidden="1" x14ac:dyDescent="0.2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hidden="1" x14ac:dyDescent="0.2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hidden="1" x14ac:dyDescent="0.2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hidden="1" x14ac:dyDescent="0.2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 x14ac:dyDescent="0.2">
      <c r="A136" s="3" t="s">
        <v>29</v>
      </c>
      <c r="B136" s="4" t="s">
        <v>189</v>
      </c>
      <c r="C136" s="10">
        <v>68411</v>
      </c>
      <c r="D136" s="11">
        <v>22288</v>
      </c>
      <c r="E136" s="11">
        <v>19425</v>
      </c>
      <c r="F136" s="12">
        <f t="shared" ref="F136:F144" si="6">SUM(E136/D136)</f>
        <v>0.87154522613065322</v>
      </c>
      <c r="G136" s="12" t="str">
        <f t="shared" ref="G136:G144" si="7">IF(F136&gt;69%, "GOOD", "POOR")</f>
        <v>GOOD</v>
      </c>
      <c r="H136" s="5">
        <v>2.7</v>
      </c>
      <c r="I136" s="5">
        <v>150</v>
      </c>
      <c r="J136" s="5" t="str" cm="1">
        <f t="array" ref="J136">_xlfn.IFS(I136&gt;299,"High HP",I136&gt;99,"Medium HP",I136&lt;100,"Low HP")</f>
        <v>Medium HP</v>
      </c>
      <c r="K136" s="5" t="s">
        <v>73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 x14ac:dyDescent="0.2">
      <c r="A137" s="3" t="s">
        <v>29</v>
      </c>
      <c r="B137" s="4" t="s">
        <v>190</v>
      </c>
      <c r="C137" s="10">
        <v>63849</v>
      </c>
      <c r="D137" s="11">
        <v>25545</v>
      </c>
      <c r="E137" s="11">
        <v>18140</v>
      </c>
      <c r="F137" s="12">
        <f t="shared" si="6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 x14ac:dyDescent="0.2">
      <c r="A138" s="3" t="s">
        <v>29</v>
      </c>
      <c r="B138" s="4" t="s">
        <v>191</v>
      </c>
      <c r="C138" s="10">
        <v>247994</v>
      </c>
      <c r="D138" s="11">
        <v>17518</v>
      </c>
      <c r="E138" s="11">
        <v>13245</v>
      </c>
      <c r="F138" s="12">
        <f t="shared" si="6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 x14ac:dyDescent="0.2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6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 x14ac:dyDescent="0.2">
      <c r="A140" s="3" t="s">
        <v>29</v>
      </c>
      <c r="B140" s="4" t="s">
        <v>193</v>
      </c>
      <c r="C140" s="10">
        <v>142535</v>
      </c>
      <c r="D140" s="11">
        <v>13108</v>
      </c>
      <c r="E140" s="11">
        <v>10025</v>
      </c>
      <c r="F140" s="12">
        <f t="shared" si="6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str" cm="1">
        <f t="array" ref="J140">_xlfn.IFS(I140&gt;299,"High HP",I140&gt;99,"Medium HP",I140&lt;100,"Low HP")</f>
        <v>Medium HP</v>
      </c>
      <c r="K140" s="5" t="s">
        <v>55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 x14ac:dyDescent="0.2">
      <c r="A141" s="3" t="s">
        <v>29</v>
      </c>
      <c r="B141" s="4" t="s">
        <v>194</v>
      </c>
      <c r="C141" s="10">
        <v>9835</v>
      </c>
      <c r="D141" s="11">
        <v>51728</v>
      </c>
      <c r="E141" s="11">
        <v>34080</v>
      </c>
      <c r="F141" s="12">
        <f t="shared" si="6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 x14ac:dyDescent="0.2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6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 x14ac:dyDescent="0.2">
      <c r="A143" s="3" t="s">
        <v>29</v>
      </c>
      <c r="B143" s="4" t="s">
        <v>196</v>
      </c>
      <c r="C143" s="10">
        <v>65119</v>
      </c>
      <c r="D143" s="11">
        <v>22368</v>
      </c>
      <c r="E143" s="11">
        <v>18689</v>
      </c>
      <c r="F143" s="12">
        <f t="shared" si="6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 x14ac:dyDescent="0.2">
      <c r="A144" s="3" t="s">
        <v>29</v>
      </c>
      <c r="B144" s="4" t="s">
        <v>197</v>
      </c>
      <c r="C144" s="10">
        <v>84087</v>
      </c>
      <c r="D144" s="11">
        <v>11528</v>
      </c>
      <c r="E144" s="11">
        <v>9575</v>
      </c>
      <c r="F144" s="12">
        <f t="shared" si="6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hidden="1" x14ac:dyDescent="0.2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hidden="1" x14ac:dyDescent="0.2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hidden="1" x14ac:dyDescent="0.2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hidden="1" x14ac:dyDescent="0.2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hidden="1" x14ac:dyDescent="0.2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hidden="1" x14ac:dyDescent="0.2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hidden="1" x14ac:dyDescent="0.2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hidden="1" x14ac:dyDescent="0.2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hidden="1" x14ac:dyDescent="0.2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hidden="1" x14ac:dyDescent="0.2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hidden="1" x14ac:dyDescent="0.2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hidden="1" x14ac:dyDescent="0.2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9" priority="1" operator="containsText" text="POOR">
      <formula>NOT(ISERROR(SEARCH("POOR",G2)))</formula>
    </cfRule>
    <cfRule type="containsText" dxfId="8" priority="2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zoomScaleNormal="100" workbookViewId="0">
      <selection activeCell="G167" sqref="G167"/>
    </sheetView>
  </sheetViews>
  <sheetFormatPr baseColWidth="10" defaultColWidth="9.1640625" defaultRowHeight="15" x14ac:dyDescent="0.2"/>
  <cols>
    <col min="1" max="1" width="15.33203125" customWidth="1"/>
    <col min="2" max="2" width="15.5" bestFit="1" customWidth="1"/>
    <col min="3" max="3" width="17.83203125" customWidth="1"/>
    <col min="4" max="4" width="20.5" customWidth="1"/>
    <col min="5" max="5" width="12.6640625" style="9" customWidth="1"/>
    <col min="6" max="6" width="19.5" bestFit="1" customWidth="1"/>
    <col min="7" max="7" width="14" customWidth="1"/>
    <col min="8" max="8" width="17.5" customWidth="1"/>
    <col min="9" max="9" width="13.1640625" customWidth="1"/>
    <col min="10" max="10" width="14" customWidth="1"/>
    <col min="11" max="11" width="11.83203125" customWidth="1"/>
    <col min="12" max="12" width="14.83203125" customWidth="1"/>
    <col min="13" max="13" width="14.6640625" customWidth="1"/>
    <col min="14" max="14" width="11" hidden="1" customWidth="1"/>
    <col min="15" max="15" width="6.5" hidden="1" customWidth="1"/>
    <col min="16" max="16" width="7" hidden="1" customWidth="1"/>
    <col min="17" max="17" width="12.33203125" hidden="1" customWidth="1"/>
    <col min="18" max="18" width="13.1640625" hidden="1" customWidth="1"/>
    <col min="19" max="19" width="13.5" hidden="1" customWidth="1"/>
    <col min="23" max="23" width="11.33203125" bestFit="1" customWidth="1"/>
    <col min="24" max="24" width="7.5" bestFit="1" customWidth="1"/>
    <col min="25" max="25" width="11.5" bestFit="1" customWidth="1"/>
    <col min="26" max="26" width="7.83203125" bestFit="1" customWidth="1"/>
    <col min="27" max="27" width="16.5" bestFit="1" customWidth="1"/>
  </cols>
  <sheetData>
    <row r="1" spans="1:23" s="1" customFormat="1" x14ac:dyDescent="0.2">
      <c r="A1" s="2" t="s">
        <v>35</v>
      </c>
      <c r="B1" s="2" t="s">
        <v>36</v>
      </c>
      <c r="C1" s="2" t="s">
        <v>47</v>
      </c>
      <c r="D1" s="2" t="s">
        <v>37</v>
      </c>
      <c r="E1" s="8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hidden="1" x14ac:dyDescent="0.2">
      <c r="A2" s="3" t="s">
        <v>2</v>
      </c>
      <c r="B2" s="4" t="s">
        <v>54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 t="s">
        <v>55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hidden="1" x14ac:dyDescent="0.2">
      <c r="A3" s="3" t="s">
        <v>2</v>
      </c>
      <c r="B3" s="4" t="s">
        <v>56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 t="s">
        <v>55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hidden="1" x14ac:dyDescent="0.2">
      <c r="A4" s="3" t="s">
        <v>2</v>
      </c>
      <c r="B4" s="4" t="s">
        <v>57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 t="s">
        <v>55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hidden="1" x14ac:dyDescent="0.2">
      <c r="A5" s="3" t="s">
        <v>3</v>
      </c>
      <c r="B5" s="4" t="s">
        <v>58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 t="s">
        <v>55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hidden="1" x14ac:dyDescent="0.2">
      <c r="A6" s="3" t="s">
        <v>3</v>
      </c>
      <c r="B6" s="4" t="s">
        <v>59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 t="s">
        <v>55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hidden="1" x14ac:dyDescent="0.2">
      <c r="A7" s="3" t="s">
        <v>3</v>
      </c>
      <c r="B7" s="4" t="s">
        <v>60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 t="s">
        <v>55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hidden="1" x14ac:dyDescent="0.2">
      <c r="A8" s="3" t="s">
        <v>4</v>
      </c>
      <c r="B8" s="4" t="s">
        <v>61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 t="s">
        <v>55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hidden="1" x14ac:dyDescent="0.2">
      <c r="A9" s="3" t="s">
        <v>4</v>
      </c>
      <c r="B9" s="4" t="s">
        <v>62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 t="s">
        <v>55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hidden="1" x14ac:dyDescent="0.2">
      <c r="A10" s="3" t="s">
        <v>4</v>
      </c>
      <c r="B10" s="4" t="s">
        <v>63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 t="s">
        <v>55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hidden="1" x14ac:dyDescent="0.2">
      <c r="A11" s="3" t="s">
        <v>5</v>
      </c>
      <c r="B11" s="4" t="s">
        <v>64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 t="s">
        <v>55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hidden="1" x14ac:dyDescent="0.2">
      <c r="A12" s="3" t="s">
        <v>5</v>
      </c>
      <c r="B12" s="4" t="s">
        <v>65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 t="s">
        <v>55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hidden="1" x14ac:dyDescent="0.2">
      <c r="A13" s="3" t="s">
        <v>5</v>
      </c>
      <c r="B13" s="4" t="s">
        <v>66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 t="s">
        <v>55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hidden="1" x14ac:dyDescent="0.2">
      <c r="A14" s="3" t="s">
        <v>5</v>
      </c>
      <c r="B14" s="4" t="s">
        <v>67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 t="s">
        <v>55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hidden="1" x14ac:dyDescent="0.2">
      <c r="A15" s="3" t="s">
        <v>6</v>
      </c>
      <c r="B15" s="4" t="s">
        <v>68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 t="s">
        <v>55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hidden="1" x14ac:dyDescent="0.2">
      <c r="A16" s="3" t="s">
        <v>6</v>
      </c>
      <c r="B16" s="4" t="s">
        <v>69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 t="s">
        <v>55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hidden="1" x14ac:dyDescent="0.2">
      <c r="A17" s="3" t="s">
        <v>6</v>
      </c>
      <c r="B17" s="4" t="s">
        <v>70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 t="s">
        <v>55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hidden="1" x14ac:dyDescent="0.2">
      <c r="A18" s="3" t="s">
        <v>6</v>
      </c>
      <c r="B18" s="4" t="s">
        <v>71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 t="s">
        <v>55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hidden="1" x14ac:dyDescent="0.2">
      <c r="A19" s="3" t="s">
        <v>6</v>
      </c>
      <c r="B19" s="4" t="s">
        <v>72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 t="s">
        <v>73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hidden="1" x14ac:dyDescent="0.2">
      <c r="A20" s="3" t="s">
        <v>7</v>
      </c>
      <c r="B20" s="4" t="s">
        <v>74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 t="s">
        <v>55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hidden="1" x14ac:dyDescent="0.2">
      <c r="A21" s="3" t="s">
        <v>7</v>
      </c>
      <c r="B21" s="4" t="s">
        <v>75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 t="s">
        <v>55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hidden="1" x14ac:dyDescent="0.2">
      <c r="A22" s="3" t="s">
        <v>7</v>
      </c>
      <c r="B22" s="4" t="s">
        <v>76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 t="s">
        <v>55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hidden="1" x14ac:dyDescent="0.2">
      <c r="A23" s="3" t="s">
        <v>7</v>
      </c>
      <c r="B23" s="4" t="s">
        <v>77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 t="s">
        <v>55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hidden="1" x14ac:dyDescent="0.2">
      <c r="A24" s="3" t="s">
        <v>7</v>
      </c>
      <c r="B24" s="4" t="s">
        <v>78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 t="s">
        <v>55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hidden="1" x14ac:dyDescent="0.2">
      <c r="A25" s="3" t="s">
        <v>7</v>
      </c>
      <c r="B25" s="4" t="s">
        <v>79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 t="s">
        <v>55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hidden="1" x14ac:dyDescent="0.2">
      <c r="A26" s="3" t="s">
        <v>7</v>
      </c>
      <c r="B26" s="4" t="s">
        <v>80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 t="s">
        <v>55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hidden="1" x14ac:dyDescent="0.2">
      <c r="A27" s="3" t="s">
        <v>7</v>
      </c>
      <c r="B27" s="4" t="s">
        <v>81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 t="s">
        <v>55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hidden="1" x14ac:dyDescent="0.2">
      <c r="A28" s="3" t="s">
        <v>7</v>
      </c>
      <c r="B28" s="4" t="s">
        <v>82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 t="s">
        <v>55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hidden="1" x14ac:dyDescent="0.2">
      <c r="A29" s="3" t="s">
        <v>8</v>
      </c>
      <c r="B29" s="4" t="s">
        <v>83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 t="s">
        <v>55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hidden="1" x14ac:dyDescent="0.2">
      <c r="A30" s="3" t="s">
        <v>8</v>
      </c>
      <c r="B30" s="4" t="s">
        <v>84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 t="s">
        <v>55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hidden="1" x14ac:dyDescent="0.2">
      <c r="A31" s="3" t="s">
        <v>8</v>
      </c>
      <c r="B31" s="4" t="s">
        <v>85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 t="s">
        <v>55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hidden="1" x14ac:dyDescent="0.2">
      <c r="A32" s="3" t="s">
        <v>8</v>
      </c>
      <c r="B32" s="4" t="s">
        <v>86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 t="s">
        <v>55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hidden="1" x14ac:dyDescent="0.2">
      <c r="A33" s="3" t="s">
        <v>8</v>
      </c>
      <c r="B33" s="4" t="s">
        <v>87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 t="s">
        <v>55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hidden="1" x14ac:dyDescent="0.2">
      <c r="A34" s="3" t="s">
        <v>8</v>
      </c>
      <c r="B34" s="4" t="s">
        <v>88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 t="s">
        <v>55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hidden="1" x14ac:dyDescent="0.2">
      <c r="A35" s="3" t="s">
        <v>9</v>
      </c>
      <c r="B35" s="4" t="s">
        <v>89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 t="s">
        <v>55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hidden="1" x14ac:dyDescent="0.2">
      <c r="A36" s="3" t="s">
        <v>9</v>
      </c>
      <c r="B36" s="4" t="s">
        <v>90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 t="s">
        <v>55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hidden="1" x14ac:dyDescent="0.2">
      <c r="A37" s="3" t="s">
        <v>9</v>
      </c>
      <c r="B37" s="4" t="s">
        <v>91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 t="s">
        <v>55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hidden="1" x14ac:dyDescent="0.2">
      <c r="A38" s="3" t="s">
        <v>9</v>
      </c>
      <c r="B38" s="4" t="s">
        <v>92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 t="s">
        <v>55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hidden="1" x14ac:dyDescent="0.2">
      <c r="A39" s="3" t="s">
        <v>9</v>
      </c>
      <c r="B39" s="4" t="s">
        <v>93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 t="s">
        <v>55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hidden="1" x14ac:dyDescent="0.2">
      <c r="A40" s="3" t="s">
        <v>9</v>
      </c>
      <c r="B40" s="4" t="s">
        <v>94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 t="s">
        <v>73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hidden="1" x14ac:dyDescent="0.2">
      <c r="A41" s="3" t="s">
        <v>9</v>
      </c>
      <c r="B41" s="4" t="s">
        <v>95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 t="s">
        <v>73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hidden="1" x14ac:dyDescent="0.2">
      <c r="A42" s="3" t="s">
        <v>9</v>
      </c>
      <c r="B42" s="4" t="s">
        <v>96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 t="s">
        <v>73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hidden="1" x14ac:dyDescent="0.2">
      <c r="A43" s="3" t="s">
        <v>9</v>
      </c>
      <c r="B43" s="4" t="s">
        <v>97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 t="s">
        <v>73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hidden="1" x14ac:dyDescent="0.2">
      <c r="A44" s="3" t="s">
        <v>9</v>
      </c>
      <c r="B44" s="4" t="s">
        <v>98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 t="s">
        <v>73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hidden="1" x14ac:dyDescent="0.2">
      <c r="A45" s="3" t="s">
        <v>9</v>
      </c>
      <c r="B45" s="4" t="s">
        <v>99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 t="s">
        <v>73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hidden="1" x14ac:dyDescent="0.2">
      <c r="A46" s="3" t="s">
        <v>10</v>
      </c>
      <c r="B46" s="4" t="s">
        <v>100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 t="s">
        <v>55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hidden="1" x14ac:dyDescent="0.2">
      <c r="A47" s="3" t="s">
        <v>10</v>
      </c>
      <c r="B47" s="4" t="s">
        <v>101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 t="s">
        <v>55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hidden="1" x14ac:dyDescent="0.2">
      <c r="A48" s="3" t="s">
        <v>10</v>
      </c>
      <c r="B48" s="4" t="s">
        <v>102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 t="s">
        <v>55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hidden="1" x14ac:dyDescent="0.2">
      <c r="A49" s="3" t="s">
        <v>10</v>
      </c>
      <c r="B49" s="4" t="s">
        <v>103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 t="s">
        <v>55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hidden="1" x14ac:dyDescent="0.2">
      <c r="A50" s="3" t="s">
        <v>10</v>
      </c>
      <c r="B50" s="4" t="s">
        <v>104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 t="s">
        <v>55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hidden="1" x14ac:dyDescent="0.2">
      <c r="A51" s="3" t="s">
        <v>10</v>
      </c>
      <c r="B51" s="4" t="s">
        <v>105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 t="s">
        <v>55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hidden="1" x14ac:dyDescent="0.2">
      <c r="A52" s="3" t="s">
        <v>10</v>
      </c>
      <c r="B52" s="4" t="s">
        <v>106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 t="s">
        <v>73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hidden="1" x14ac:dyDescent="0.2">
      <c r="A53" s="3" t="s">
        <v>10</v>
      </c>
      <c r="B53" s="4" t="s">
        <v>107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 t="s">
        <v>73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hidden="1" x14ac:dyDescent="0.2">
      <c r="A54" s="3" t="s">
        <v>10</v>
      </c>
      <c r="B54" s="4" t="s">
        <v>108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 t="s">
        <v>73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hidden="1" x14ac:dyDescent="0.2">
      <c r="A55" s="3" t="s">
        <v>10</v>
      </c>
      <c r="B55" s="4" t="s">
        <v>109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 t="s">
        <v>73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hidden="1" x14ac:dyDescent="0.2">
      <c r="A56" s="3" t="s">
        <v>10</v>
      </c>
      <c r="B56" s="4" t="s">
        <v>110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 t="s">
        <v>73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hidden="1" x14ac:dyDescent="0.2">
      <c r="A57" s="3" t="s">
        <v>11</v>
      </c>
      <c r="B57" s="4" t="s">
        <v>111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 t="s">
        <v>55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hidden="1" x14ac:dyDescent="0.2">
      <c r="A58" s="3" t="s">
        <v>11</v>
      </c>
      <c r="B58" s="4" t="s">
        <v>112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 t="s">
        <v>55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hidden="1" x14ac:dyDescent="0.2">
      <c r="A59" s="3" t="s">
        <v>11</v>
      </c>
      <c r="B59" s="4" t="s">
        <v>113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 t="s">
        <v>73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hidden="1" x14ac:dyDescent="0.2">
      <c r="A60" s="3" t="s">
        <v>11</v>
      </c>
      <c r="B60" s="4" t="s">
        <v>114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 t="s">
        <v>73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hidden="1" x14ac:dyDescent="0.2">
      <c r="A61" s="3" t="s">
        <v>11</v>
      </c>
      <c r="B61" s="4" t="s">
        <v>115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 t="s">
        <v>73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hidden="1" x14ac:dyDescent="0.2">
      <c r="A62" s="3" t="s">
        <v>12</v>
      </c>
      <c r="B62" s="4" t="s">
        <v>116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 t="s">
        <v>55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hidden="1" x14ac:dyDescent="0.2">
      <c r="A63" s="3" t="s">
        <v>12</v>
      </c>
      <c r="B63" s="4" t="s">
        <v>117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 t="s">
        <v>55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hidden="1" x14ac:dyDescent="0.2">
      <c r="A64" s="3" t="s">
        <v>12</v>
      </c>
      <c r="B64" s="4" t="s">
        <v>118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 t="s">
        <v>55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hidden="1" x14ac:dyDescent="0.2">
      <c r="A65" s="3" t="s">
        <v>13</v>
      </c>
      <c r="B65" s="4" t="s">
        <v>119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 t="s">
        <v>55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hidden="1" x14ac:dyDescent="0.2">
      <c r="A66" s="3" t="s">
        <v>14</v>
      </c>
      <c r="B66" s="4" t="s">
        <v>120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 t="s">
        <v>55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hidden="1" x14ac:dyDescent="0.2">
      <c r="A67" s="3" t="s">
        <v>15</v>
      </c>
      <c r="B67" s="4" t="s">
        <v>121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 t="s">
        <v>73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hidden="1" x14ac:dyDescent="0.2">
      <c r="A68" s="3" t="s">
        <v>15</v>
      </c>
      <c r="B68" s="4" t="s">
        <v>122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 t="s">
        <v>73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hidden="1" x14ac:dyDescent="0.2">
      <c r="A69" s="3" t="s">
        <v>15</v>
      </c>
      <c r="B69" s="4" t="s">
        <v>123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 t="s">
        <v>73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hidden="1" x14ac:dyDescent="0.2">
      <c r="A70" s="3" t="s">
        <v>16</v>
      </c>
      <c r="B70" s="4" t="s">
        <v>124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 t="s">
        <v>55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hidden="1" x14ac:dyDescent="0.2">
      <c r="A71" s="3" t="s">
        <v>16</v>
      </c>
      <c r="B71" s="4" t="s">
        <v>125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 t="s">
        <v>55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hidden="1" x14ac:dyDescent="0.2">
      <c r="A72" s="3" t="s">
        <v>16</v>
      </c>
      <c r="B72" s="4" t="s">
        <v>126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 t="s">
        <v>55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hidden="1" x14ac:dyDescent="0.2">
      <c r="A73" s="3" t="s">
        <v>16</v>
      </c>
      <c r="B73" s="4" t="s">
        <v>127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 t="s">
        <v>55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hidden="1" x14ac:dyDescent="0.2">
      <c r="A74" s="3" t="s">
        <v>16</v>
      </c>
      <c r="B74" s="4" t="s">
        <v>128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 t="s">
        <v>73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hidden="1" x14ac:dyDescent="0.2">
      <c r="A75" s="3" t="s">
        <v>16</v>
      </c>
      <c r="B75" s="4" t="s">
        <v>129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 t="s">
        <v>73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hidden="1" x14ac:dyDescent="0.2">
      <c r="A76" s="3" t="s">
        <v>17</v>
      </c>
      <c r="B76" s="4" t="s">
        <v>130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 t="s">
        <v>55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hidden="1" x14ac:dyDescent="0.2">
      <c r="A77" s="3" t="s">
        <v>17</v>
      </c>
      <c r="B77" s="4" t="s">
        <v>131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 t="s">
        <v>55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hidden="1" x14ac:dyDescent="0.2">
      <c r="A78" s="3" t="s">
        <v>17</v>
      </c>
      <c r="B78" s="4" t="s">
        <v>132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 t="s">
        <v>73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hidden="1" x14ac:dyDescent="0.2">
      <c r="A79" s="3" t="s">
        <v>20</v>
      </c>
      <c r="B79" s="4" t="s">
        <v>133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 t="s">
        <v>55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hidden="1" x14ac:dyDescent="0.2">
      <c r="A80" s="3" t="s">
        <v>20</v>
      </c>
      <c r="B80" s="4" t="s">
        <v>134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 t="s">
        <v>55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hidden="1" x14ac:dyDescent="0.2">
      <c r="A81" s="3" t="s">
        <v>20</v>
      </c>
      <c r="B81" s="4" t="s">
        <v>135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 t="s">
        <v>55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hidden="1" x14ac:dyDescent="0.2">
      <c r="A82" s="3" t="s">
        <v>20</v>
      </c>
      <c r="B82" s="4" t="s">
        <v>136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 t="s">
        <v>55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hidden="1" x14ac:dyDescent="0.2">
      <c r="A83" s="3" t="s">
        <v>20</v>
      </c>
      <c r="B83" s="4" t="s">
        <v>137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 t="s">
        <v>55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hidden="1" x14ac:dyDescent="0.2">
      <c r="A84" s="3" t="s">
        <v>20</v>
      </c>
      <c r="B84" s="4" t="s">
        <v>138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 t="s">
        <v>73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hidden="1" x14ac:dyDescent="0.2">
      <c r="A85" s="3" t="s">
        <v>20</v>
      </c>
      <c r="B85" s="4" t="s">
        <v>139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 t="s">
        <v>73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hidden="1" x14ac:dyDescent="0.2">
      <c r="A86" s="3" t="s">
        <v>19</v>
      </c>
      <c r="B86" s="4" t="s">
        <v>140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 t="s">
        <v>55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hidden="1" x14ac:dyDescent="0.2">
      <c r="A87" s="3" t="s">
        <v>19</v>
      </c>
      <c r="B87" s="4" t="s">
        <v>141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 t="s">
        <v>55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hidden="1" x14ac:dyDescent="0.2">
      <c r="A88" s="3" t="s">
        <v>19</v>
      </c>
      <c r="B88" s="4" t="s">
        <v>142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 t="s">
        <v>55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hidden="1" x14ac:dyDescent="0.2">
      <c r="A89" s="3" t="s">
        <v>19</v>
      </c>
      <c r="B89" s="4" t="s">
        <v>143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 t="s">
        <v>55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hidden="1" x14ac:dyDescent="0.2">
      <c r="A90" s="3" t="s">
        <v>19</v>
      </c>
      <c r="B90" s="4" t="s">
        <v>144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 t="s">
        <v>73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hidden="1" x14ac:dyDescent="0.2">
      <c r="A91" s="3" t="s">
        <v>19</v>
      </c>
      <c r="B91" s="4" t="s">
        <v>145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 t="s">
        <v>73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hidden="1" x14ac:dyDescent="0.2">
      <c r="A92" s="3" t="s">
        <v>18</v>
      </c>
      <c r="B92" s="4" t="s">
        <v>146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 t="s">
        <v>55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hidden="1" x14ac:dyDescent="0.2">
      <c r="A93" s="3" t="s">
        <v>18</v>
      </c>
      <c r="B93" s="4" t="s">
        <v>147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 t="s">
        <v>55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hidden="1" x14ac:dyDescent="0.2">
      <c r="A94" s="3" t="s">
        <v>18</v>
      </c>
      <c r="B94" s="4" t="s">
        <v>148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 t="s">
        <v>55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hidden="1" x14ac:dyDescent="0.2">
      <c r="A95" s="3" t="s">
        <v>18</v>
      </c>
      <c r="B95" s="4" t="s">
        <v>149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 t="s">
        <v>55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hidden="1" x14ac:dyDescent="0.2">
      <c r="A96" s="3" t="s">
        <v>18</v>
      </c>
      <c r="B96" s="4" t="s">
        <v>150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 t="s">
        <v>55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hidden="1" x14ac:dyDescent="0.2">
      <c r="A97" s="3" t="s">
        <v>18</v>
      </c>
      <c r="B97" s="4" t="s">
        <v>151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 t="s">
        <v>55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hidden="1" x14ac:dyDescent="0.2">
      <c r="A98" s="3" t="s">
        <v>18</v>
      </c>
      <c r="B98" s="4" t="s">
        <v>152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 t="s">
        <v>55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hidden="1" x14ac:dyDescent="0.2">
      <c r="A99" s="3" t="s">
        <v>18</v>
      </c>
      <c r="B99" s="4" t="s">
        <v>153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 t="s">
        <v>55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hidden="1" x14ac:dyDescent="0.2">
      <c r="A100" s="3" t="s">
        <v>18</v>
      </c>
      <c r="B100" s="4" t="s">
        <v>154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 t="s">
        <v>73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hidden="1" x14ac:dyDescent="0.2">
      <c r="A101" s="3" t="s">
        <v>21</v>
      </c>
      <c r="B101" s="4" t="s">
        <v>155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 t="s">
        <v>55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hidden="1" x14ac:dyDescent="0.2">
      <c r="A102" s="3" t="s">
        <v>21</v>
      </c>
      <c r="B102" s="4" t="s">
        <v>156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 t="s">
        <v>55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hidden="1" x14ac:dyDescent="0.2">
      <c r="A103" s="3" t="s">
        <v>21</v>
      </c>
      <c r="B103" s="4" t="s">
        <v>157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 t="s">
        <v>55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hidden="1" x14ac:dyDescent="0.2">
      <c r="A104" s="3" t="s">
        <v>21</v>
      </c>
      <c r="B104" s="4" t="s">
        <v>158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 t="s">
        <v>73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hidden="1" x14ac:dyDescent="0.2">
      <c r="A105" s="3" t="s">
        <v>21</v>
      </c>
      <c r="B105" s="4" t="s">
        <v>159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 t="s">
        <v>73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hidden="1" x14ac:dyDescent="0.2">
      <c r="A106" s="3" t="s">
        <v>21</v>
      </c>
      <c r="B106" s="4" t="s">
        <v>160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 t="s">
        <v>73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hidden="1" x14ac:dyDescent="0.2">
      <c r="A107" s="3" t="s">
        <v>21</v>
      </c>
      <c r="B107" s="4" t="s">
        <v>161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 t="s">
        <v>73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hidden="1" x14ac:dyDescent="0.2">
      <c r="A108" s="3" t="s">
        <v>22</v>
      </c>
      <c r="B108" s="4" t="s">
        <v>162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 t="s">
        <v>55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hidden="1" x14ac:dyDescent="0.2">
      <c r="A109" s="3" t="s">
        <v>22</v>
      </c>
      <c r="B109" s="4" t="s">
        <v>163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 t="s">
        <v>55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hidden="1" x14ac:dyDescent="0.2">
      <c r="A110" s="3" t="s">
        <v>22</v>
      </c>
      <c r="B110" s="4" t="s">
        <v>164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 t="s">
        <v>55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hidden="1" x14ac:dyDescent="0.2">
      <c r="A111" s="3" t="s">
        <v>22</v>
      </c>
      <c r="B111" s="4" t="s">
        <v>165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 t="s">
        <v>55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hidden="1" x14ac:dyDescent="0.2">
      <c r="A112" s="3" t="s">
        <v>22</v>
      </c>
      <c r="B112" s="4" t="s">
        <v>166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 t="s">
        <v>73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hidden="1" x14ac:dyDescent="0.2">
      <c r="A113" s="3" t="s">
        <v>22</v>
      </c>
      <c r="B113" s="4" t="s">
        <v>167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 t="s">
        <v>73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hidden="1" x14ac:dyDescent="0.2">
      <c r="A114" s="3" t="s">
        <v>23</v>
      </c>
      <c r="B114" s="4" t="s">
        <v>89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 t="s">
        <v>55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hidden="1" x14ac:dyDescent="0.2">
      <c r="A115" s="3" t="s">
        <v>23</v>
      </c>
      <c r="B115" s="4" t="s">
        <v>168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 t="s">
        <v>55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hidden="1" x14ac:dyDescent="0.2">
      <c r="A116" s="3" t="s">
        <v>23</v>
      </c>
      <c r="B116" s="4" t="s">
        <v>169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 t="s">
        <v>73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hidden="1" x14ac:dyDescent="0.2">
      <c r="A117" s="3" t="s">
        <v>23</v>
      </c>
      <c r="B117" s="4" t="s">
        <v>170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 t="s">
        <v>55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hidden="1" x14ac:dyDescent="0.2">
      <c r="A118" s="3" t="s">
        <v>24</v>
      </c>
      <c r="B118" s="4" t="s">
        <v>171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 t="s">
        <v>55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hidden="1" x14ac:dyDescent="0.2">
      <c r="A119" s="3" t="s">
        <v>24</v>
      </c>
      <c r="B119" s="4" t="s">
        <v>172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 t="s">
        <v>55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hidden="1" x14ac:dyDescent="0.2">
      <c r="A120" s="3" t="s">
        <v>24</v>
      </c>
      <c r="B120" s="4" t="s">
        <v>173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 t="s">
        <v>55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hidden="1" x14ac:dyDescent="0.2">
      <c r="A121" s="3" t="s">
        <v>24</v>
      </c>
      <c r="B121" s="4" t="s">
        <v>174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 t="s">
        <v>55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hidden="1" x14ac:dyDescent="0.2">
      <c r="A122" s="3" t="s">
        <v>24</v>
      </c>
      <c r="B122" s="4" t="s">
        <v>175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 t="s">
        <v>55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hidden="1" x14ac:dyDescent="0.2">
      <c r="A123" s="3" t="s">
        <v>24</v>
      </c>
      <c r="B123" s="4" t="s">
        <v>176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 t="s">
        <v>73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hidden="1" x14ac:dyDescent="0.2">
      <c r="A124" s="3" t="s">
        <v>25</v>
      </c>
      <c r="B124" s="4" t="s">
        <v>177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 t="s">
        <v>55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hidden="1" x14ac:dyDescent="0.2">
      <c r="A125" s="3" t="s">
        <v>25</v>
      </c>
      <c r="B125" s="4" t="s">
        <v>178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 t="s">
        <v>55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hidden="1" x14ac:dyDescent="0.2">
      <c r="A126" s="3" t="s">
        <v>25</v>
      </c>
      <c r="B126" s="4" t="s">
        <v>179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 t="s">
        <v>55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hidden="1" x14ac:dyDescent="0.2">
      <c r="A127" s="3" t="s">
        <v>26</v>
      </c>
      <c r="B127" s="7" t="s">
        <v>180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 t="s">
        <v>55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hidden="1" x14ac:dyDescent="0.2">
      <c r="A128" s="3" t="s">
        <v>26</v>
      </c>
      <c r="B128" s="7" t="s">
        <v>181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 t="s">
        <v>55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hidden="1" x14ac:dyDescent="0.2">
      <c r="A129" s="3" t="s">
        <v>27</v>
      </c>
      <c r="B129" s="4" t="s">
        <v>182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 t="s">
        <v>55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hidden="1" x14ac:dyDescent="0.2">
      <c r="A130" s="3" t="s">
        <v>27</v>
      </c>
      <c r="B130" s="4" t="s">
        <v>183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 t="s">
        <v>55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hidden="1" x14ac:dyDescent="0.2">
      <c r="A131" s="3" t="s">
        <v>27</v>
      </c>
      <c r="B131" s="4" t="s">
        <v>184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 t="s">
        <v>55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hidden="1" x14ac:dyDescent="0.2">
      <c r="A132" s="3" t="s">
        <v>27</v>
      </c>
      <c r="B132" s="4" t="s">
        <v>185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 t="s">
        <v>55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hidden="1" x14ac:dyDescent="0.2">
      <c r="A133" s="3" t="s">
        <v>27</v>
      </c>
      <c r="B133" s="4" t="s">
        <v>186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 t="s">
        <v>55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hidden="1" x14ac:dyDescent="0.2">
      <c r="A134" s="3" t="s">
        <v>28</v>
      </c>
      <c r="B134" s="4" t="s">
        <v>187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 t="s">
        <v>55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hidden="1" x14ac:dyDescent="0.2">
      <c r="A135" s="3" t="s">
        <v>28</v>
      </c>
      <c r="B135" s="4" t="s">
        <v>188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 t="s">
        <v>73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2">
      <c r="A136" s="3" t="s">
        <v>29</v>
      </c>
      <c r="B136" s="4" t="s">
        <v>193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 t="s">
        <v>55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2">
      <c r="A137" s="3" t="s">
        <v>29</v>
      </c>
      <c r="B137" s="4" t="s">
        <v>191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 t="s">
        <v>55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2">
      <c r="A138" s="3" t="s">
        <v>29</v>
      </c>
      <c r="B138" s="4" t="s">
        <v>190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 t="s">
        <v>55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2">
      <c r="A139" s="3" t="s">
        <v>29</v>
      </c>
      <c r="B139" s="4" t="s">
        <v>192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>SUM(F139/E139)</f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 t="s">
        <v>55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2">
      <c r="A140" s="3" t="s">
        <v>29</v>
      </c>
      <c r="B140" s="4" t="s">
        <v>197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 t="s">
        <v>73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2">
      <c r="A141" s="3" t="s">
        <v>29</v>
      </c>
      <c r="B141" s="4" t="s">
        <v>196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 t="s">
        <v>73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2">
      <c r="A142" s="3" t="s">
        <v>29</v>
      </c>
      <c r="B142" s="4" t="s">
        <v>195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 t="s">
        <v>73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2">
      <c r="A143" s="3" t="s">
        <v>29</v>
      </c>
      <c r="B143" s="4" t="s">
        <v>189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 t="s">
        <v>73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2">
      <c r="A144" s="3" t="s">
        <v>29</v>
      </c>
      <c r="B144" s="4" t="s">
        <v>194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 t="s">
        <v>73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hidden="1" x14ac:dyDescent="0.2">
      <c r="A145" s="3" t="s">
        <v>30</v>
      </c>
      <c r="B145" s="4" t="s">
        <v>198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 t="s">
        <v>55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hidden="1" x14ac:dyDescent="0.2">
      <c r="A146" s="3" t="s">
        <v>30</v>
      </c>
      <c r="B146" s="4" t="s">
        <v>199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 t="s">
        <v>55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hidden="1" x14ac:dyDescent="0.2">
      <c r="A147" s="3" t="s">
        <v>30</v>
      </c>
      <c r="B147" s="4" t="s">
        <v>200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 t="s">
        <v>55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hidden="1" x14ac:dyDescent="0.2">
      <c r="A148" s="3" t="s">
        <v>30</v>
      </c>
      <c r="B148" s="4" t="s">
        <v>201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 t="s">
        <v>55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hidden="1" x14ac:dyDescent="0.2">
      <c r="A149" s="3" t="s">
        <v>30</v>
      </c>
      <c r="B149" s="4" t="s">
        <v>202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 t="s">
        <v>55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hidden="1" x14ac:dyDescent="0.2">
      <c r="A150" s="3" t="s">
        <v>30</v>
      </c>
      <c r="B150" s="4" t="s">
        <v>203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 t="s">
        <v>55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hidden="1" x14ac:dyDescent="0.2">
      <c r="A151" s="3" t="s">
        <v>31</v>
      </c>
      <c r="B151" s="4" t="s">
        <v>204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 t="s">
        <v>55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hidden="1" x14ac:dyDescent="0.2">
      <c r="A152" s="3" t="s">
        <v>31</v>
      </c>
      <c r="B152" s="4" t="s">
        <v>205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 t="s">
        <v>55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hidden="1" x14ac:dyDescent="0.2">
      <c r="A153" s="3" t="s">
        <v>31</v>
      </c>
      <c r="B153" s="4" t="s">
        <v>206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 t="s">
        <v>55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hidden="1" x14ac:dyDescent="0.2">
      <c r="A154" s="3" t="s">
        <v>31</v>
      </c>
      <c r="B154" s="4" t="s">
        <v>207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 t="s">
        <v>55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hidden="1" x14ac:dyDescent="0.2">
      <c r="A155" s="3" t="s">
        <v>31</v>
      </c>
      <c r="B155" s="4" t="s">
        <v>208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 t="s">
        <v>55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hidden="1" x14ac:dyDescent="0.2">
      <c r="A156" s="3" t="s">
        <v>31</v>
      </c>
      <c r="B156" s="4" t="s">
        <v>209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 t="s">
        <v>55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7" priority="1" operator="containsText" text="POOR">
      <formula>NOT(ISERROR(SEARCH("POOR",H2)))</formula>
    </cfRule>
    <cfRule type="containsText" dxfId="6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zoomScaleNormal="100" workbookViewId="0">
      <selection activeCell="C12" sqref="C12"/>
    </sheetView>
  </sheetViews>
  <sheetFormatPr baseColWidth="10" defaultColWidth="9.1640625" defaultRowHeight="15" x14ac:dyDescent="0.2"/>
  <cols>
    <col min="1" max="1" width="15.33203125" customWidth="1"/>
    <col min="2" max="2" width="15.5" bestFit="1" customWidth="1"/>
    <col min="3" max="3" width="20.5" bestFit="1" customWidth="1"/>
    <col min="4" max="4" width="12.6640625" style="9" customWidth="1"/>
    <col min="5" max="5" width="19.5" bestFit="1" customWidth="1"/>
    <col min="6" max="6" width="14" customWidth="1"/>
    <col min="7" max="7" width="17.5" customWidth="1"/>
    <col min="8" max="8" width="13.1640625" customWidth="1"/>
    <col min="9" max="9" width="14" customWidth="1"/>
    <col min="10" max="10" width="11.83203125" customWidth="1"/>
    <col min="11" max="11" width="14.83203125" customWidth="1"/>
    <col min="12" max="12" width="14.6640625" customWidth="1"/>
    <col min="13" max="13" width="17.83203125" customWidth="1"/>
    <col min="14" max="14" width="11" customWidth="1"/>
    <col min="15" max="15" width="6.5" customWidth="1"/>
    <col min="16" max="16" width="7" customWidth="1"/>
    <col min="17" max="17" width="12.33203125" customWidth="1"/>
    <col min="18" max="18" width="13.1640625" customWidth="1"/>
    <col min="19" max="19" width="13.5" customWidth="1"/>
    <col min="20" max="22" width="8.83203125"/>
    <col min="23" max="23" width="11.33203125" bestFit="1" customWidth="1"/>
    <col min="24" max="24" width="7.5" bestFit="1" customWidth="1"/>
    <col min="25" max="25" width="11.5" bestFit="1" customWidth="1"/>
    <col min="26" max="26" width="7.83203125" bestFit="1" customWidth="1"/>
    <col min="27" max="27" width="16.5" bestFit="1" customWidth="1"/>
  </cols>
  <sheetData>
    <row r="1" spans="1:23" s="1" customFormat="1" x14ac:dyDescent="0.2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x14ac:dyDescent="0.2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x14ac:dyDescent="0.2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x14ac:dyDescent="0.2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x14ac:dyDescent="0.2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x14ac:dyDescent="0.2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x14ac:dyDescent="0.2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x14ac:dyDescent="0.2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x14ac:dyDescent="0.2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x14ac:dyDescent="0.2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x14ac:dyDescent="0.2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x14ac:dyDescent="0.2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x14ac:dyDescent="0.2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x14ac:dyDescent="0.2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x14ac:dyDescent="0.2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x14ac:dyDescent="0.2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x14ac:dyDescent="0.2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x14ac:dyDescent="0.2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x14ac:dyDescent="0.2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x14ac:dyDescent="0.2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x14ac:dyDescent="0.2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x14ac:dyDescent="0.2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x14ac:dyDescent="0.2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x14ac:dyDescent="0.2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x14ac:dyDescent="0.2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x14ac:dyDescent="0.2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x14ac:dyDescent="0.2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x14ac:dyDescent="0.2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x14ac:dyDescent="0.2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x14ac:dyDescent="0.2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x14ac:dyDescent="0.2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x14ac:dyDescent="0.2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x14ac:dyDescent="0.2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x14ac:dyDescent="0.2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x14ac:dyDescent="0.2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x14ac:dyDescent="0.2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x14ac:dyDescent="0.2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x14ac:dyDescent="0.2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x14ac:dyDescent="0.2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x14ac:dyDescent="0.2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x14ac:dyDescent="0.2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x14ac:dyDescent="0.2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x14ac:dyDescent="0.2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x14ac:dyDescent="0.2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x14ac:dyDescent="0.2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x14ac:dyDescent="0.2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x14ac:dyDescent="0.2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x14ac:dyDescent="0.2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x14ac:dyDescent="0.2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x14ac:dyDescent="0.2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x14ac:dyDescent="0.2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x14ac:dyDescent="0.2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x14ac:dyDescent="0.2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x14ac:dyDescent="0.2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x14ac:dyDescent="0.2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x14ac:dyDescent="0.2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x14ac:dyDescent="0.2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x14ac:dyDescent="0.2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x14ac:dyDescent="0.2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x14ac:dyDescent="0.2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x14ac:dyDescent="0.2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x14ac:dyDescent="0.2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x14ac:dyDescent="0.2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x14ac:dyDescent="0.2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x14ac:dyDescent="0.2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x14ac:dyDescent="0.2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x14ac:dyDescent="0.2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x14ac:dyDescent="0.2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x14ac:dyDescent="0.2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x14ac:dyDescent="0.2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x14ac:dyDescent="0.2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x14ac:dyDescent="0.2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x14ac:dyDescent="0.2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x14ac:dyDescent="0.2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x14ac:dyDescent="0.2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x14ac:dyDescent="0.2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x14ac:dyDescent="0.2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x14ac:dyDescent="0.2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x14ac:dyDescent="0.2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x14ac:dyDescent="0.2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x14ac:dyDescent="0.2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x14ac:dyDescent="0.2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x14ac:dyDescent="0.2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x14ac:dyDescent="0.2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x14ac:dyDescent="0.2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x14ac:dyDescent="0.2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x14ac:dyDescent="0.2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x14ac:dyDescent="0.2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x14ac:dyDescent="0.2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x14ac:dyDescent="0.2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x14ac:dyDescent="0.2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x14ac:dyDescent="0.2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x14ac:dyDescent="0.2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x14ac:dyDescent="0.2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x14ac:dyDescent="0.2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x14ac:dyDescent="0.2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x14ac:dyDescent="0.2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x14ac:dyDescent="0.2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x14ac:dyDescent="0.2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x14ac:dyDescent="0.2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x14ac:dyDescent="0.2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x14ac:dyDescent="0.2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x14ac:dyDescent="0.2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x14ac:dyDescent="0.2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x14ac:dyDescent="0.2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x14ac:dyDescent="0.2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x14ac:dyDescent="0.2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x14ac:dyDescent="0.2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x14ac:dyDescent="0.2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x14ac:dyDescent="0.2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x14ac:dyDescent="0.2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x14ac:dyDescent="0.2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x14ac:dyDescent="0.2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x14ac:dyDescent="0.2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x14ac:dyDescent="0.2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x14ac:dyDescent="0.2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x14ac:dyDescent="0.2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x14ac:dyDescent="0.2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x14ac:dyDescent="0.2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x14ac:dyDescent="0.2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x14ac:dyDescent="0.2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x14ac:dyDescent="0.2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x14ac:dyDescent="0.2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x14ac:dyDescent="0.2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x14ac:dyDescent="0.2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x14ac:dyDescent="0.2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x14ac:dyDescent="0.2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x14ac:dyDescent="0.2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x14ac:dyDescent="0.2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x14ac:dyDescent="0.2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x14ac:dyDescent="0.2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x14ac:dyDescent="0.2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x14ac:dyDescent="0.2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x14ac:dyDescent="0.2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x14ac:dyDescent="0.2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2">
      <c r="A136" s="3" t="s">
        <v>29</v>
      </c>
      <c r="B136" s="4" t="s">
        <v>193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55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2">
      <c r="A137" s="3" t="s">
        <v>29</v>
      </c>
      <c r="B137" s="4" t="s">
        <v>191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2">
      <c r="A138" s="3" t="s">
        <v>29</v>
      </c>
      <c r="B138" s="4" t="s">
        <v>190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2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2">
      <c r="A140" s="3" t="s">
        <v>29</v>
      </c>
      <c r="B140" s="4" t="s">
        <v>197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73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2">
      <c r="A141" s="3" t="s">
        <v>29</v>
      </c>
      <c r="B141" s="4" t="s">
        <v>196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2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2">
      <c r="A143" s="3" t="s">
        <v>29</v>
      </c>
      <c r="B143" s="4" t="s">
        <v>189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2">
      <c r="A144" s="3" t="s">
        <v>29</v>
      </c>
      <c r="B144" s="4" t="s">
        <v>194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x14ac:dyDescent="0.2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x14ac:dyDescent="0.2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x14ac:dyDescent="0.2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x14ac:dyDescent="0.2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x14ac:dyDescent="0.2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x14ac:dyDescent="0.2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x14ac:dyDescent="0.2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x14ac:dyDescent="0.2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x14ac:dyDescent="0.2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x14ac:dyDescent="0.2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x14ac:dyDescent="0.2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x14ac:dyDescent="0.2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5" priority="3" operator="containsText" text="POOR">
      <formula>NOT(ISERROR(SEARCH("POOR",G2)))</formula>
    </cfRule>
    <cfRule type="containsText" dxfId="4" priority="5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 Chart</vt:lpstr>
      <vt:lpstr>Bar Chart</vt:lpstr>
      <vt:lpstr>Area Chart</vt:lpstr>
      <vt:lpstr>Column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Jessica Oehvall</cp:lastModifiedBy>
  <cp:revision/>
  <dcterms:created xsi:type="dcterms:W3CDTF">2020-05-21T14:49:04Z</dcterms:created>
  <dcterms:modified xsi:type="dcterms:W3CDTF">2026-01-28T09:38:45Z</dcterms:modified>
  <cp:category/>
  <cp:contentStatus/>
</cp:coreProperties>
</file>